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xr:revisionPtr revIDLastSave="0" documentId="8_{28DAEB63-C4CD-43F4-B45F-70B2E71E3EE1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Sales_data" sheetId="1" r:id="rId1"/>
    <sheet name="Analysis" sheetId="2" r:id="rId2"/>
    <sheet name="Total Sales by Category." sheetId="5" r:id="rId3"/>
    <sheet name="Total Profit by Category" sheetId="6" r:id="rId4"/>
    <sheet name="Total Sales by state" sheetId="8" r:id="rId5"/>
    <sheet name="Total sales by product" sheetId="9" r:id="rId6"/>
    <sheet name="Category-wise Sales &amp; Profit" sheetId="10" r:id="rId7"/>
    <sheet name="Conditional Formatting" sheetId="11" r:id="rId8"/>
    <sheet name="FINAL Table" sheetId="12" r:id="rId9"/>
    <sheet name="FINAL Pivot Tables" sheetId="15" r:id="rId10"/>
  </sheets>
  <definedNames>
    <definedName name="_xlnm._FilterDatabase" localSheetId="0" hidden="1">Sales_data!$A$1:$I$1</definedName>
    <definedName name="Slicer_Category">#N/A</definedName>
    <definedName name="Slicer_Category1">#N/A</definedName>
    <definedName name="Slicer_Category2">#N/A</definedName>
    <definedName name="Slicer_Category3">#N/A</definedName>
    <definedName name="Slicer_Customer_Name">#N/A</definedName>
    <definedName name="Slicer_Product">#N/A</definedName>
    <definedName name="Slicer_Product1">#N/A</definedName>
    <definedName name="Slicer_State">#N/A</definedName>
    <definedName name="Slicer_State1">#N/A</definedName>
  </definedNames>
  <calcPr calcId="191028"/>
  <pivotCaches>
    <pivotCache cacheId="39" r:id="rId11"/>
    <pivotCache cacheId="40" r:id="rId12"/>
    <pivotCache cacheId="41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6" i="12" l="1"/>
  <c r="K4" i="12"/>
  <c r="K2" i="12"/>
  <c r="K8" i="12"/>
  <c r="K14" i="12"/>
  <c r="K12" i="12"/>
  <c r="K10" i="12"/>
  <c r="P38" i="2"/>
  <c r="P36" i="2"/>
  <c r="R9" i="2" a="1"/>
  <c r="R9" i="2"/>
  <c r="R65" i="2" a="1"/>
  <c r="R65" i="2"/>
  <c r="R59" i="2" a="1"/>
  <c r="R59" i="2"/>
  <c r="R44" i="2" a="1"/>
  <c r="R44" i="2"/>
  <c r="R17" i="2" a="1"/>
  <c r="R17" i="2"/>
  <c r="R4" i="2" a="1"/>
  <c r="R4" i="2"/>
  <c r="A29" i="2"/>
  <c r="N55" i="2"/>
  <c r="N51" i="2"/>
  <c r="N48" i="2"/>
  <c r="N44" i="2"/>
  <c r="N40" i="2"/>
  <c r="N38" i="2"/>
  <c r="N36" i="2"/>
  <c r="N33" i="2"/>
  <c r="N24" i="2"/>
  <c r="N19" i="2"/>
  <c r="N17" i="2"/>
  <c r="N14" i="2"/>
  <c r="N9" i="2"/>
  <c r="N4" i="2"/>
  <c r="P33" i="2"/>
  <c r="P30" i="2"/>
  <c r="P25" i="2"/>
  <c r="P22" i="2"/>
  <c r="P18" i="2"/>
  <c r="P15" i="2"/>
  <c r="P12" i="2"/>
  <c r="P9" i="2"/>
  <c r="P6" i="2"/>
  <c r="P3" i="2"/>
  <c r="A48" i="2"/>
  <c r="A44" i="2"/>
  <c r="A41" i="2"/>
  <c r="A68" i="2"/>
  <c r="A66" i="2"/>
  <c r="A63" i="2"/>
  <c r="A57" i="2"/>
  <c r="A52" i="2"/>
  <c r="A3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2" i="2" a="1"/>
  <c r="G2" i="2"/>
  <c r="F2" i="2" a="1"/>
  <c r="F2" i="2"/>
  <c r="E2" i="2" a="1"/>
  <c r="E2" i="2"/>
  <c r="B8" i="2"/>
  <c r="B10" i="2"/>
  <c r="B11" i="2"/>
  <c r="B13" i="2"/>
  <c r="B14" i="2"/>
  <c r="B15" i="2"/>
  <c r="B16" i="2"/>
  <c r="B19" i="2"/>
  <c r="B7" i="2"/>
  <c r="B3" i="2"/>
  <c r="B6" i="2"/>
  <c r="B4" i="2"/>
  <c r="B2" i="2"/>
  <c r="B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<sst xmlns="http://schemas.openxmlformats.org/spreadsheetml/2006/main" count="1017" uniqueCount="224">
  <si>
    <t>Order_ID</t>
  </si>
  <si>
    <t>Order_Date</t>
  </si>
  <si>
    <t>Customer_Name</t>
  </si>
  <si>
    <t>State</t>
  </si>
  <si>
    <t>Category</t>
  </si>
  <si>
    <t>Product</t>
  </si>
  <si>
    <t>Sales</t>
  </si>
  <si>
    <t>Quantity</t>
  </si>
  <si>
    <t>Profit</t>
  </si>
  <si>
    <t>ORD001</t>
  </si>
  <si>
    <t>Arun</t>
  </si>
  <si>
    <t>Tamil Nadu</t>
  </si>
  <si>
    <t>Electronics</t>
  </si>
  <si>
    <t>Laptop</t>
  </si>
  <si>
    <t>ORD002</t>
  </si>
  <si>
    <t>Priya</t>
  </si>
  <si>
    <t>Kerala</t>
  </si>
  <si>
    <t>Furniture</t>
  </si>
  <si>
    <t>Office Chair</t>
  </si>
  <si>
    <t>ORD003</t>
  </si>
  <si>
    <t>Ravi</t>
  </si>
  <si>
    <t>Karnataka</t>
  </si>
  <si>
    <t>Mobile</t>
  </si>
  <si>
    <t>ORD004</t>
  </si>
  <si>
    <t>Divya</t>
  </si>
  <si>
    <t>Telangana</t>
  </si>
  <si>
    <t>Stationery</t>
  </si>
  <si>
    <t>Notebook</t>
  </si>
  <si>
    <t>ORD005</t>
  </si>
  <si>
    <t>Karthik</t>
  </si>
  <si>
    <t>Mouse</t>
  </si>
  <si>
    <t>ORD006</t>
  </si>
  <si>
    <t>Meena</t>
  </si>
  <si>
    <t>Desk</t>
  </si>
  <si>
    <t>ORD007</t>
  </si>
  <si>
    <t>Suresh</t>
  </si>
  <si>
    <t>Keyboard</t>
  </si>
  <si>
    <t>ORD008</t>
  </si>
  <si>
    <t>Anitha</t>
  </si>
  <si>
    <t>Pen</t>
  </si>
  <si>
    <t>ORD009</t>
  </si>
  <si>
    <t>Vimal</t>
  </si>
  <si>
    <t>Monitor</t>
  </si>
  <si>
    <t>ORD010</t>
  </si>
  <si>
    <t>Kavya</t>
  </si>
  <si>
    <t>Bookshelf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</si>
  <si>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</si>
  <si>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</si>
  <si>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</si>
  <si>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</si>
  <si>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</si>
  <si>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</si>
  <si>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</si>
  <si>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</si>
  <si>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</si>
  <si>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</si>
  <si>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</si>
  <si>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</si>
  <si>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</si>
  <si>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</si>
  <si>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</si>
  <si>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</si>
  <si>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</si>
  <si>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</si>
  <si>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</si>
  <si>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</si>
  <si>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</si>
  <si>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</si>
  <si>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</si>
  <si>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</si>
  <si>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</si>
  <si>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</si>
  <si>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</si>
  <si>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</si>
  <si>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</si>
  <si>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</si>
  <si>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</si>
  <si>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</si>
  <si>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</si>
  <si>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</si>
  <si>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</si>
  <si>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</si>
  <si>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</si>
  <si>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</si>
  <si>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</si>
  <si>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</si>
  <si>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SUM</t>
  </si>
  <si>
    <t>IF,AND,OR</t>
  </si>
  <si>
    <t>LOOKUPS</t>
  </si>
  <si>
    <t>DATA CLEANING</t>
  </si>
  <si>
    <t>DYNAMIC ARRAY FUNCTIONS</t>
  </si>
  <si>
    <t>SORT()</t>
  </si>
  <si>
    <t>Total Sales</t>
  </si>
  <si>
    <r>
      <rPr>
        <sz val="11"/>
        <color rgb="FF000000"/>
        <rFont val="Calibri"/>
        <scheme val="minor"/>
      </rPr>
      <t xml:space="preserve">If Profit is greater than or equal to ₹5,000, show </t>
    </r>
    <r>
      <rPr>
        <b/>
        <sz val="11"/>
        <color rgb="FF000000"/>
        <rFont val="Calibri"/>
        <scheme val="minor"/>
      </rPr>
      <t>"High Profit"</t>
    </r>
    <r>
      <rPr>
        <sz val="11"/>
        <color rgb="FF000000"/>
        <rFont val="Calibri"/>
        <scheme val="minor"/>
      </rPr>
      <t xml:space="preserve">, otherwise show </t>
    </r>
    <r>
      <rPr>
        <b/>
        <sz val="11"/>
        <color rgb="FF000000"/>
        <rFont val="Calibri"/>
        <scheme val="minor"/>
      </rPr>
      <t>"Low Profit"</t>
    </r>
    <r>
      <rPr>
        <sz val="11"/>
        <color rgb="FF000000"/>
        <rFont val="Calibri"/>
        <scheme val="minor"/>
      </rPr>
      <t>.</t>
    </r>
  </si>
  <si>
    <r>
      <t>Q1.</t>
    </r>
    <r>
      <rPr>
        <sz val="11"/>
        <color theme="1"/>
        <rFont val="Calibri"/>
        <family val="2"/>
        <scheme val="minor"/>
      </rPr>
      <t xml:space="preserve"> Find the Category for</t>
    </r>
  </si>
  <si>
    <t>In Sales_data , check whether the Customer_Name in C2 is blank.(ISBLANK)</t>
  </si>
  <si>
    <t>Total Quantity</t>
  </si>
  <si>
    <r>
      <t xml:space="preserve">If Sales is greater than ₹30,000, show </t>
    </r>
    <r>
      <rPr>
        <b/>
        <sz val="11"/>
        <color theme="1"/>
        <rFont val="Calibri"/>
        <family val="2"/>
        <scheme val="minor"/>
      </rPr>
      <t>"Good Sales"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"Low Sales"</t>
    </r>
  </si>
  <si>
    <r>
      <rPr>
        <sz val="11"/>
        <color rgb="FF000000"/>
        <rFont val="Calibri"/>
        <scheme val="minor"/>
      </rPr>
      <t>From your Sales_data sheet, find all unique Categories from E2:E51.</t>
    </r>
    <r>
      <rPr>
        <b/>
        <sz val="11"/>
        <color rgb="FF000000"/>
        <rFont val="Calibri"/>
        <scheme val="minor"/>
      </rPr>
      <t xml:space="preserve"> UNIQUE()</t>
    </r>
  </si>
  <si>
    <r>
      <rPr>
        <sz val="11"/>
        <color rgb="FF000000"/>
        <rFont val="Calibri"/>
        <scheme val="minor"/>
      </rPr>
      <t xml:space="preserve">Sort the </t>
    </r>
    <r>
      <rPr>
        <b/>
        <sz val="11"/>
        <color rgb="FF000000"/>
        <rFont val="Calibri"/>
        <scheme val="minor"/>
      </rPr>
      <t>Sales values</t>
    </r>
    <r>
      <rPr>
        <sz val="11"/>
        <color rgb="FF000000"/>
        <rFont val="Calibri"/>
        <scheme val="minor"/>
      </rPr>
      <t xml:space="preserve"> from Sales_data!G2:G51</t>
    </r>
  </si>
  <si>
    <t>Total Profit</t>
  </si>
  <si>
    <r>
      <t xml:space="preserve">If Quantity is greater than or equal to 5, show </t>
    </r>
    <r>
      <rPr>
        <b/>
        <sz val="11"/>
        <color theme="1"/>
        <rFont val="Calibri"/>
        <family val="2"/>
        <scheme val="minor"/>
      </rPr>
      <t>"Bulk Order"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"Normal Order"</t>
    </r>
    <r>
      <rPr>
        <sz val="11"/>
        <color theme="1"/>
        <rFont val="Calibri"/>
        <family val="2"/>
        <scheme val="minor"/>
      </rPr>
      <t>.</t>
    </r>
  </si>
  <si>
    <t>in ascending order (smallest → largest).</t>
  </si>
  <si>
    <t>AVERAGE</t>
  </si>
  <si>
    <t>High Value Order</t>
  </si>
  <si>
    <t>Your State column may contain extra spaces.(TRIM)</t>
  </si>
  <si>
    <t>==SORT(Sales_data!A2:I51,7,1)</t>
  </si>
  <si>
    <t>Average Sales</t>
  </si>
  <si>
    <r>
      <t xml:space="preserve">Show </t>
    </r>
    <r>
      <rPr>
        <b/>
        <sz val="11"/>
        <color theme="1"/>
        <rFont val="Calibri"/>
        <family val="2"/>
        <scheme val="minor"/>
      </rPr>
      <t>"High Value"</t>
    </r>
    <r>
      <rPr>
        <sz val="11"/>
        <color theme="1"/>
        <rFont val="Calibri"/>
        <family val="2"/>
        <scheme val="minor"/>
      </rPr>
      <t xml:space="preserve"> if:</t>
    </r>
  </si>
  <si>
    <t>If Laptop</t>
  </si>
  <si>
    <t>Average Profit</t>
  </si>
  <si>
    <r>
      <t xml:space="preserve">Sales &gt; ₹30,000 </t>
    </r>
    <r>
      <rPr>
        <b/>
        <sz val="11"/>
        <color theme="1"/>
        <rFont val="Calibri"/>
        <family val="2"/>
        <scheme val="minor"/>
      </rPr>
      <t>AND</t>
    </r>
  </si>
  <si>
    <t>contains a Product name, use XLOOKUP to find the Sales amount for that product.</t>
  </si>
  <si>
    <t>Sort the entire</t>
  </si>
  <si>
    <t>Average Quantity</t>
  </si>
  <si>
    <t>Profit &gt; ₹5,000</t>
  </si>
  <si>
    <r>
      <t xml:space="preserve">Remove extra spaces from </t>
    </r>
    <r>
      <rPr>
        <b/>
        <sz val="11"/>
        <color theme="1"/>
        <rFont val="Calibri"/>
        <family val="2"/>
        <scheme val="minor"/>
      </rPr>
      <t>D15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</si>
  <si>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000000"/>
        <rFont val="Calibri"/>
        <scheme val="minor"/>
      </rPr>
      <t xml:space="preserve">Find all </t>
    </r>
    <r>
      <rPr>
        <b/>
        <sz val="11"/>
        <color rgb="FF000000"/>
        <rFont val="Calibri"/>
        <scheme val="minor"/>
      </rPr>
      <t>unique States</t>
    </r>
    <r>
      <rPr>
        <sz val="11"/>
        <color rgb="FF000000"/>
        <rFont val="Calibri"/>
        <scheme val="minor"/>
      </rPr>
      <t xml:space="preserve"> from Sales_data!D2:D51</t>
    </r>
  </si>
  <si>
    <t>Sales_data</t>
  </si>
  <si>
    <t>COUNT</t>
  </si>
  <si>
    <r>
      <t xml:space="preserve">Otherwise show </t>
    </r>
    <r>
      <rPr>
        <b/>
        <sz val="11"/>
        <color theme="1"/>
        <rFont val="Calibri"/>
        <family val="2"/>
        <scheme val="minor"/>
      </rPr>
      <t>"Normal"</t>
    </r>
  </si>
  <si>
    <r>
      <t xml:space="preserve">table by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, from </t>
    </r>
    <r>
      <rPr>
        <b/>
        <sz val="11"/>
        <color theme="1"/>
        <rFont val="Calibri"/>
        <family val="2"/>
        <scheme val="minor"/>
      </rPr>
      <t>highest to lowest</t>
    </r>
    <r>
      <rPr>
        <sz val="11"/>
        <color theme="1"/>
        <rFont val="Calibri"/>
        <family val="2"/>
        <scheme val="minor"/>
      </rPr>
      <t>.</t>
    </r>
  </si>
  <si>
    <t>Number of Orders</t>
  </si>
  <si>
    <t>==SORT(Sales_data!A2:I51,9,-1)</t>
  </si>
  <si>
    <t>Number of Sales values</t>
  </si>
  <si>
    <t>Bulk &amp; Profitable Order</t>
  </si>
  <si>
    <t>From Order_ID in A10, extract the first 3 characters.(LEFT())</t>
  </si>
  <si>
    <t>MAX / MIN</t>
  </si>
  <si>
    <r>
      <t xml:space="preserve">Show </t>
    </r>
    <r>
      <rPr>
        <b/>
        <sz val="11"/>
        <color theme="1"/>
        <rFont val="Calibri"/>
        <family val="2"/>
        <scheme val="minor"/>
      </rPr>
      <t>"Best Order"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</si>
  <si>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contains a </t>
    </r>
    <r>
      <rPr>
        <b/>
        <sz val="11"/>
        <color rgb="FF000000"/>
        <rFont val="Calibri"/>
        <charset val="1"/>
      </rPr>
      <t>Product name</t>
    </r>
    <r>
      <rPr>
        <sz val="11"/>
        <color rgb="FF000000"/>
        <rFont val="Calibri"/>
        <charset val="1"/>
      </rPr>
      <t xml:space="preserve">, find the </t>
    </r>
    <r>
      <rPr>
        <b/>
        <sz val="11"/>
        <color rgb="FF000000"/>
        <rFont val="Calibri"/>
        <charset val="1"/>
      </rPr>
      <t>Profit</t>
    </r>
    <r>
      <rPr>
        <sz val="11"/>
        <color rgb="FF000000"/>
        <rFont val="Calibri"/>
        <charset val="1"/>
      </rPr>
      <t xml:space="preserve"> for that product.</t>
    </r>
  </si>
  <si>
    <r>
      <t xml:space="preserve">Sort the entire table by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, from </t>
    </r>
    <r>
      <rPr>
        <b/>
        <sz val="11"/>
        <color theme="1"/>
        <rFont val="Calibri"/>
        <family val="2"/>
        <scheme val="minor"/>
      </rPr>
      <t>highest → lowest</t>
    </r>
    <r>
      <rPr>
        <sz val="11"/>
        <color theme="1"/>
        <rFont val="Calibri"/>
        <family val="2"/>
        <scheme val="minor"/>
      </rPr>
      <t>.</t>
    </r>
  </si>
  <si>
    <t>Highest Sales</t>
  </si>
  <si>
    <r>
      <t xml:space="preserve">Quantity &gt;= 5 </t>
    </r>
    <r>
      <rPr>
        <b/>
        <sz val="11"/>
        <color theme="1"/>
        <rFont val="Calibri"/>
        <family val="2"/>
        <scheme val="minor"/>
      </rPr>
      <t>AND</t>
    </r>
  </si>
  <si>
    <t>==SORT(Sales_data!A2:I51,8,-1)</t>
  </si>
  <si>
    <t>Lowest Sales</t>
  </si>
  <si>
    <t>Profit &gt;= ₹1,000</t>
  </si>
  <si>
    <t>From Order_ID in A20, extract the last 3 characters.(RIGHT())</t>
  </si>
  <si>
    <t>Highest Profit</t>
  </si>
  <si>
    <r>
      <t xml:space="preserve">Otherwise show </t>
    </r>
    <r>
      <rPr>
        <b/>
        <sz val="11"/>
        <color theme="1"/>
        <rFont val="Calibri"/>
        <family val="2"/>
        <scheme val="minor"/>
      </rPr>
      <t>"Regular Order"</t>
    </r>
    <r>
      <rPr>
        <sz val="11"/>
        <color theme="1"/>
        <rFont val="Calibri"/>
        <family val="2"/>
        <scheme val="minor"/>
      </rPr>
      <t>.</t>
    </r>
  </si>
  <si>
    <t>FILTER()</t>
  </si>
  <si>
    <r>
      <t xml:space="preserve">Sort the entire table by </t>
    </r>
    <r>
      <rPr>
        <b/>
        <sz val="11"/>
        <color theme="1"/>
        <rFont val="Calibri"/>
        <family val="2"/>
        <scheme val="minor"/>
      </rPr>
      <t>Order_Date</t>
    </r>
    <r>
      <rPr>
        <sz val="11"/>
        <color theme="1"/>
        <rFont val="Calibri"/>
        <family val="2"/>
        <scheme val="minor"/>
      </rPr>
      <t xml:space="preserve">, from </t>
    </r>
    <r>
      <rPr>
        <b/>
        <sz val="11"/>
        <color theme="1"/>
        <rFont val="Calibri"/>
        <family val="2"/>
        <scheme val="minor"/>
      </rPr>
      <t>oldest → newest</t>
    </r>
    <r>
      <rPr>
        <sz val="11"/>
        <color theme="1"/>
        <rFont val="Calibri"/>
        <family val="2"/>
        <scheme val="minor"/>
      </rPr>
      <t>.</t>
    </r>
  </si>
  <si>
    <t>Lowest Profit</t>
  </si>
  <si>
    <t>. Find the Sales for Order ID ORD015.</t>
  </si>
  <si>
    <r>
      <t xml:space="preserve">Find all rows where the </t>
    </r>
    <r>
      <rPr>
        <b/>
        <sz val="11"/>
        <color theme="1"/>
        <rFont val="Calibri"/>
        <family val="2"/>
        <scheme val="minor"/>
      </rPr>
      <t>Category is "Electronics"</t>
    </r>
    <r>
      <rPr>
        <sz val="11"/>
        <color theme="1"/>
        <rFont val="Calibri"/>
        <family val="2"/>
        <scheme val="minor"/>
      </rPr>
      <t>.</t>
    </r>
  </si>
  <si>
    <t>==SORT(Sales_data!A2:I51,2,1)</t>
  </si>
  <si>
    <t>Basic arithmetic</t>
  </si>
  <si>
    <r>
      <t xml:space="preserve">Show </t>
    </r>
    <r>
      <rPr>
        <b/>
        <sz val="11"/>
        <color theme="1"/>
        <rFont val="Calibri"/>
        <family val="2"/>
        <scheme val="minor"/>
      </rPr>
      <t>"Important"</t>
    </r>
    <r>
      <rPr>
        <sz val="11"/>
        <color theme="1"/>
        <rFont val="Calibri"/>
        <family val="2"/>
        <scheme val="minor"/>
      </rPr>
      <t xml:space="preserve"> if the State is </t>
    </r>
    <r>
      <rPr>
        <b/>
        <sz val="11"/>
        <color theme="1"/>
        <rFont val="Calibri"/>
        <family val="2"/>
        <scheme val="minor"/>
      </rPr>
      <t>Tamil Nadu OR Kerala</t>
    </r>
    <r>
      <rPr>
        <sz val="11"/>
        <color theme="1"/>
        <rFont val="Calibri"/>
        <family val="2"/>
        <scheme val="minor"/>
      </rPr>
      <t xml:space="preserve">. Otherwise show </t>
    </r>
    <r>
      <rPr>
        <b/>
        <sz val="11"/>
        <color theme="1"/>
        <rFont val="Calibri"/>
        <family val="2"/>
        <scheme val="minor"/>
      </rPr>
      <t>"Other State"</t>
    </r>
    <r>
      <rPr>
        <sz val="11"/>
        <color theme="1"/>
        <rFont val="Calibri"/>
        <family val="2"/>
        <scheme val="minor"/>
      </rPr>
      <t>.</t>
    </r>
  </si>
  <si>
    <t>From Order_ID in A25, extract the middle 3 characters.(MID())</t>
  </si>
  <si>
    <t>Sales ÷ Orders</t>
  </si>
  <si>
    <t>Find the Customer Name for Order ID ORD030.</t>
  </si>
  <si>
    <t>Highest Sales − Lowest Sales</t>
  </si>
  <si>
    <t>High Sales or High Profit</t>
  </si>
  <si>
    <r>
      <t xml:space="preserve">Show </t>
    </r>
    <r>
      <rPr>
        <b/>
        <sz val="11"/>
        <color theme="1"/>
        <rFont val="Calibri"/>
        <family val="2"/>
        <scheme val="minor"/>
      </rPr>
      <t>"Top Performance"</t>
    </r>
    <r>
      <rPr>
        <sz val="11"/>
        <color theme="1"/>
        <rFont val="Calibri"/>
        <family val="2"/>
        <scheme val="minor"/>
      </rPr>
      <t xml:space="preserve"> if:</t>
    </r>
  </si>
  <si>
    <t>TEXT FUNCTIONS</t>
  </si>
  <si>
    <r>
      <t xml:space="preserve">table by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>, highest → lowest.</t>
    </r>
  </si>
  <si>
    <r>
      <t xml:space="preserve">Sales &gt; ₹50,000 </t>
    </r>
    <r>
      <rPr>
        <b/>
        <sz val="11"/>
        <color theme="1"/>
        <rFont val="Calibri"/>
        <family val="2"/>
        <scheme val="minor"/>
      </rPr>
      <t>OR</t>
    </r>
  </si>
  <si>
    <t>Combine the Customer_Name (C2) and State (D2) with a space between them. CONCAT()</t>
  </si>
  <si>
    <t>==SORT(Sales_data!A2:I51,7,-1)</t>
  </si>
  <si>
    <t>Profit &gt; ₹7,000</t>
  </si>
  <si>
    <t>Find the Quantity for Order ID ORD045</t>
  </si>
  <si>
    <r>
      <t xml:space="preserve">Otherwise show </t>
    </r>
    <r>
      <rPr>
        <b/>
        <sz val="11"/>
        <color theme="1"/>
        <rFont val="Calibri"/>
        <family val="2"/>
        <scheme val="minor"/>
      </rPr>
      <t>"Normal Performance"</t>
    </r>
  </si>
  <si>
    <r>
      <t xml:space="preserve">Sort the entire table by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>, lowest → highest.</t>
    </r>
  </si>
  <si>
    <r>
      <rPr>
        <sz val="11"/>
        <color rgb="FF000000"/>
        <rFont val="Calibri"/>
        <scheme val="minor"/>
      </rPr>
      <t xml:space="preserve">Combine </t>
    </r>
    <r>
      <rPr>
        <b/>
        <sz val="11"/>
        <color rgb="FF000000"/>
        <rFont val="Calibri"/>
        <scheme val="minor"/>
      </rPr>
      <t>Product (F5)</t>
    </r>
    <r>
      <rPr>
        <sz val="11"/>
        <color rgb="FF000000"/>
        <rFont val="Calibri"/>
        <scheme val="minor"/>
      </rPr>
      <t xml:space="preserve"> and </t>
    </r>
    <r>
      <rPr>
        <b/>
        <sz val="11"/>
        <color rgb="FF000000"/>
        <rFont val="Calibri"/>
        <scheme val="minor"/>
      </rPr>
      <t>Category (E5)</t>
    </r>
    <r>
      <rPr>
        <sz val="11"/>
        <color rgb="FF000000"/>
        <rFont val="Calibri"/>
        <scheme val="minor"/>
      </rPr>
      <t xml:space="preserve"> with " - " between them.</t>
    </r>
  </si>
  <si>
    <t>==SORT(Sales_data!A2:I51,'Sales_data'!I2:I51,1)</t>
  </si>
  <si>
    <r>
      <t xml:space="preserve">If </t>
    </r>
    <r>
      <rPr>
        <b/>
        <sz val="11"/>
        <color theme="1"/>
        <rFont val="Calibri"/>
        <family val="2"/>
        <scheme val="minor"/>
      </rPr>
      <t>(Sales &gt; ₹40,000 AND Profit &gt; ₹6,000) OR Quantity &gt;= 10</t>
    </r>
    <r>
      <rPr>
        <sz val="11"/>
        <color theme="1"/>
        <rFont val="Calibri"/>
        <family val="2"/>
        <scheme val="minor"/>
      </rPr>
      <t xml:space="preserve">, show </t>
    </r>
    <r>
      <rPr>
        <b/>
        <sz val="11"/>
        <color theme="1"/>
        <rFont val="Calibri"/>
        <family val="2"/>
        <scheme val="minor"/>
      </rPr>
      <t>"HIGH PRIORITY"</t>
    </r>
    <r>
      <rPr>
        <sz val="11"/>
        <color theme="1"/>
        <rFont val="Calibri"/>
        <family val="2"/>
        <scheme val="minor"/>
      </rPr>
      <t>.</t>
    </r>
  </si>
  <si>
    <t>FILTER + SORT</t>
  </si>
  <si>
    <t>1️⃣ SUMIF — Practice</t>
  </si>
  <si>
    <t>TEXTJOIN()</t>
  </si>
  <si>
    <t>Find all Product names where Category = "Electronics" and sort them by Sales from highest → lowest.</t>
  </si>
  <si>
    <r>
      <t>Q1.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total Sales for Electronics</t>
    </r>
    <r>
      <rPr>
        <sz val="11"/>
        <color theme="1"/>
        <rFont val="Calibri"/>
        <family val="2"/>
        <scheme val="minor"/>
      </rPr>
      <t>.</t>
    </r>
  </si>
  <si>
    <t>Combine these three cells from Sales_data:</t>
  </si>
  <si>
    <t>==SORT(FILTER(Sales_data!A2:I51,Sales_data!E2:E51="Electronics"),7,-1)</t>
  </si>
  <si>
    <t>Customer Name → C8
State → D8
Product → F8
Separate them with " | ".</t>
  </si>
  <si>
    <t>Find all Product names where Sales &gt; 50,000 and sort them from highest Sales → lowest Sales.</t>
  </si>
  <si>
    <t>==SORT(FILTER(Sales_data!A2:I51,Sales_data!G2:G51&gt;50000),7,-1)</t>
  </si>
  <si>
    <t>Find the Price of Mobile.</t>
  </si>
  <si>
    <t>Order ID → A12
Customer Name → C12
Product → F12
Separator: " - ", combine</t>
  </si>
  <si>
    <r>
      <t xml:space="preserve">Find all </t>
    </r>
    <r>
      <rPr>
        <b/>
        <sz val="11"/>
        <color theme="1"/>
        <rFont val="Calibri"/>
        <family val="2"/>
        <scheme val="minor"/>
      </rPr>
      <t>Furniture records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>Profit &gt; ₹5,000</t>
    </r>
    <r>
      <rPr>
        <sz val="11"/>
        <color theme="1"/>
        <rFont val="Calibri"/>
        <family val="2"/>
        <scheme val="minor"/>
      </rPr>
      <t xml:space="preserve">, and sort them by </t>
    </r>
    <r>
      <rPr>
        <b/>
        <sz val="11"/>
        <color theme="1"/>
        <rFont val="Calibri"/>
        <family val="2"/>
        <scheme val="minor"/>
      </rPr>
      <t>Profit highest → lowest</t>
    </r>
    <r>
      <rPr>
        <sz val="11"/>
        <color theme="1"/>
        <rFont val="Calibri"/>
        <family val="2"/>
        <scheme val="minor"/>
      </rPr>
      <t>.</t>
    </r>
  </si>
  <si>
    <r>
      <t>Q2.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total Profit for Furniture</t>
    </r>
    <r>
      <rPr>
        <sz val="11"/>
        <color theme="1"/>
        <rFont val="Calibri"/>
        <family val="2"/>
        <scheme val="minor"/>
      </rPr>
      <t>.</t>
    </r>
  </si>
  <si>
    <t>==SORT(FILTER(Sales_data!A2:I51,(Sales_data!E2:E51="Furniture")*(Sales_data!I2:I51&gt;5000)),9,-1)</t>
  </si>
  <si>
    <t>Find the Quantity of Mouse</t>
  </si>
  <si>
    <t>TRIM</t>
  </si>
  <si>
    <r>
      <t xml:space="preserve">Find all </t>
    </r>
    <r>
      <rPr>
        <b/>
        <sz val="11"/>
        <color theme="1"/>
        <rFont val="Calibri"/>
        <family val="2"/>
        <scheme val="minor"/>
      </rPr>
      <t>Electronics records where Quantity &gt; 5</t>
    </r>
    <r>
      <rPr>
        <sz val="11"/>
        <color theme="1"/>
        <rFont val="Calibri"/>
        <family val="2"/>
        <scheme val="minor"/>
      </rPr>
      <t xml:space="preserve">, and sort them by </t>
    </r>
    <r>
      <rPr>
        <b/>
        <sz val="11"/>
        <color theme="1"/>
        <rFont val="Calibri"/>
        <family val="2"/>
        <scheme val="minor"/>
      </rPr>
      <t>Quantity highest → lowest</t>
    </r>
    <r>
      <rPr>
        <sz val="11"/>
        <color theme="1"/>
        <rFont val="Calibri"/>
        <family val="2"/>
        <scheme val="minor"/>
      </rPr>
      <t>.</t>
    </r>
  </si>
  <si>
    <t>Find the Profit of Keyboard.</t>
  </si>
  <si>
    <t>Cleaned State</t>
  </si>
  <si>
    <t>==SORT(FILTER(Sales_data!A2:I51,(Sales_data!E2:E51="Electronics")*(Sales_data!H2:H51&gt;5)),8,-1)</t>
  </si>
  <si>
    <t>2️⃣ COUNTIF — Practice</t>
  </si>
  <si>
    <t>Find the Quantity of Mobile.</t>
  </si>
  <si>
    <r>
      <t>Q3.</t>
    </r>
    <r>
      <rPr>
        <sz val="11"/>
        <color theme="1"/>
        <rFont val="Calibri"/>
        <family val="2"/>
        <scheme val="minor"/>
      </rPr>
      <t xml:space="preserve"> Count how many orders are from </t>
    </r>
    <r>
      <rPr>
        <b/>
        <sz val="11"/>
        <color theme="1"/>
        <rFont val="Calibri"/>
        <family val="2"/>
        <scheme val="minor"/>
      </rPr>
      <t>Tamil Nadu</t>
    </r>
    <r>
      <rPr>
        <sz val="11"/>
        <color theme="1"/>
        <rFont val="Calibri"/>
        <family val="2"/>
        <scheme val="minor"/>
      </rPr>
      <t>.</t>
    </r>
  </si>
  <si>
    <t>Find the Customer Name for Order_ID ORD025</t>
  </si>
  <si>
    <r>
      <t>Q4.</t>
    </r>
    <r>
      <rPr>
        <sz val="11"/>
        <color theme="1"/>
        <rFont val="Calibri"/>
        <family val="2"/>
        <scheme val="minor"/>
      </rPr>
      <t xml:space="preserve"> Count how many orders belong to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>.</t>
    </r>
  </si>
  <si>
    <r>
      <t xml:space="preserve">Find all </t>
    </r>
    <r>
      <rPr>
        <b/>
        <sz val="11"/>
        <color theme="1"/>
        <rFont val="Calibri"/>
        <family val="2"/>
        <scheme val="minor"/>
      </rPr>
      <t>Customer Names</t>
    </r>
    <r>
      <rPr>
        <sz val="11"/>
        <color theme="1"/>
        <rFont val="Calibri"/>
        <family val="2"/>
        <scheme val="minor"/>
      </rPr>
      <t xml:space="preserve"> where the </t>
    </r>
    <r>
      <rPr>
        <b/>
        <sz val="11"/>
        <color theme="1"/>
        <rFont val="Calibri"/>
        <family val="2"/>
        <scheme val="minor"/>
      </rPr>
      <t>State is Karnataka</t>
    </r>
    <r>
      <rPr>
        <sz val="11"/>
        <color theme="1"/>
        <rFont val="Calibri"/>
        <family val="2"/>
        <scheme val="minor"/>
      </rPr>
      <t>.</t>
    </r>
  </si>
  <si>
    <t>3️⃣ SUMIFS — Practice 🔥</t>
  </si>
  <si>
    <t>Find the Sales amount for ORD040</t>
  </si>
  <si>
    <r>
      <t>Q5.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total Sales for Electronics in Tamil Nadu</t>
    </r>
    <r>
      <rPr>
        <sz val="11"/>
        <color theme="1"/>
        <rFont val="Calibri"/>
        <family val="2"/>
        <scheme val="minor"/>
      </rPr>
      <t>.</t>
    </r>
  </si>
  <si>
    <t>Find the Profit for ORD015.</t>
  </si>
  <si>
    <r>
      <t>Q6.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total Profit for Furniture in Kerala</t>
    </r>
    <r>
      <rPr>
        <sz val="11"/>
        <color theme="1"/>
        <rFont val="Calibri"/>
        <family val="2"/>
        <scheme val="minor"/>
      </rPr>
      <t>.</t>
    </r>
  </si>
  <si>
    <t>Find the Product for ORD032</t>
  </si>
  <si>
    <t>4️⃣ COUNTIFS — Practice 🔥</t>
  </si>
  <si>
    <t>Price</t>
  </si>
  <si>
    <r>
      <t>Q7.</t>
    </r>
    <r>
      <rPr>
        <sz val="11"/>
        <color theme="1"/>
        <rFont val="Calibri"/>
        <family val="2"/>
        <scheme val="minor"/>
      </rPr>
      <t xml:space="preserve"> Count the number of </t>
    </r>
    <r>
      <rPr>
        <b/>
        <sz val="11"/>
        <color theme="1"/>
        <rFont val="Calibri"/>
        <family val="2"/>
        <scheme val="minor"/>
      </rPr>
      <t>Electronics orders in Tamil Nadu</t>
    </r>
    <r>
      <rPr>
        <sz val="11"/>
        <color theme="1"/>
        <rFont val="Calibri"/>
        <family val="2"/>
        <scheme val="minor"/>
      </rPr>
      <t>.</t>
    </r>
  </si>
  <si>
    <r>
      <t xml:space="preserve">Find all </t>
    </r>
    <r>
      <rPr>
        <b/>
        <sz val="11"/>
        <color theme="1"/>
        <rFont val="Calibri"/>
        <family val="2"/>
        <scheme val="minor"/>
      </rPr>
      <t>Product names</t>
    </r>
    <r>
      <rPr>
        <sz val="11"/>
        <color theme="1"/>
        <rFont val="Calibri"/>
        <family val="2"/>
        <scheme val="minor"/>
      </rPr>
      <t xml:space="preserve"> where:</t>
    </r>
  </si>
  <si>
    <t>Sales &gt; 50,000</t>
  </si>
  <si>
    <r>
      <t>Q8.</t>
    </r>
    <r>
      <rPr>
        <sz val="11"/>
        <color theme="1"/>
        <rFont val="Calibri"/>
        <family val="2"/>
        <scheme val="minor"/>
      </rPr>
      <t xml:space="preserve"> Count the number of orders where:</t>
    </r>
  </si>
  <si>
    <t>State = Kerala
Category = Furniture
Quantity &gt; 3</t>
  </si>
  <si>
    <t>5️⃣ AVERAGEIF — Practice</t>
  </si>
  <si>
    <t>Find all Customer Names where Profit &lt; 5,000.</t>
  </si>
  <si>
    <r>
      <rPr>
        <b/>
        <sz val="11"/>
        <color rgb="FF000000"/>
        <rFont val="Calibri"/>
        <scheme val="minor"/>
      </rPr>
      <t>Q9.</t>
    </r>
    <r>
      <rPr>
        <sz val="11"/>
        <color rgb="FF000000"/>
        <rFont val="Calibri"/>
        <scheme val="minor"/>
      </rPr>
      <t xml:space="preserve"> Find the </t>
    </r>
    <r>
      <rPr>
        <b/>
        <sz val="11"/>
        <color rgb="FF000000"/>
        <rFont val="Calibri"/>
        <scheme val="minor"/>
      </rPr>
      <t>average Sales for Electronics</t>
    </r>
    <r>
      <rPr>
        <sz val="11"/>
        <color rgb="FF000000"/>
        <rFont val="Calibri"/>
        <scheme val="minor"/>
      </rPr>
      <t>.</t>
    </r>
  </si>
  <si>
    <t>Q10. Find the average Profit for Furniture.</t>
  </si>
  <si>
    <t>Sum of Sales</t>
  </si>
  <si>
    <t>Grand Total</t>
  </si>
  <si>
    <t>PIVOT TABLE</t>
  </si>
  <si>
    <t>PIVOT CHART</t>
  </si>
  <si>
    <t>SLICERS</t>
  </si>
  <si>
    <t>Sum of Profit</t>
  </si>
  <si>
    <t>SLICER</t>
  </si>
  <si>
    <t>(blank)</t>
  </si>
  <si>
    <t>Highlight Sales &gt; ₹50,000</t>
  </si>
  <si>
    <t>Highlight Profit &lt; ₹2,000</t>
  </si>
  <si>
    <t xml:space="preserve"> Top 10 Sales</t>
  </si>
  <si>
    <t>Data Bars IN SALES</t>
  </si>
  <si>
    <t>Color Scales IN PROFIT</t>
  </si>
  <si>
    <t xml:space="preserve"> Duplicate values IN CUSTOMER NAME 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</si>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</sst>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"/>
    <numFmt numFmtId="165" formatCode="[$₹-449]\ #,##0.00"/>
    <numFmt numFmtId="166" formatCode="[$₹-44A]#,##0.00"/>
    <numFmt numFmtId="167" formatCode="[$₹-44E]#,##0.00"/>
    <numFmt numFmtId="168" formatCode="[$₹-4009]\ #,##0.00"/>
    <numFmt numFmtId="169" formatCode="[$₹-861]\ #,##0.00"/>
    <numFmt numFmtId="170" formatCode="[$₹-44C]#,##0.00"/>
    <numFmt numFmtId="171" formatCode="[$₹-457]\ #,##0.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b/>
      <sz val="13.5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</font>
    <font>
      <sz val="13.5"/>
      <color theme="1"/>
      <name val="Calibri"/>
      <family val="2"/>
      <scheme val="minor"/>
    </font>
    <font>
      <sz val="13.5"/>
      <color rgb="FF000000"/>
      <name val="Calibri"/>
      <scheme val="minor"/>
    </font>
    <font>
      <sz val="10"/>
      <color theme="1"/>
      <name val="Courier New"/>
      <charset val="1"/>
    </font>
    <font>
      <b/>
      <sz val="11"/>
      <color rgb="FFC00000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3" fillId="2" borderId="0" xfId="0" applyFont="1" applyFill="1"/>
    <xf numFmtId="0" fontId="1" fillId="2" borderId="0" xfId="0" applyFont="1" applyFill="1"/>
    <xf numFmtId="0" fontId="7" fillId="0" borderId="0" xfId="0" applyFont="1"/>
    <xf numFmtId="0" fontId="8" fillId="0" borderId="0" xfId="0" applyFont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2" fillId="3" borderId="0" xfId="0" applyFont="1" applyFill="1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0" fillId="4" borderId="0" xfId="0" applyFill="1"/>
    <xf numFmtId="0" fontId="2" fillId="4" borderId="0" xfId="0" applyFont="1" applyFill="1"/>
    <xf numFmtId="0" fontId="7" fillId="2" borderId="0" xfId="0" applyFont="1" applyFill="1"/>
    <xf numFmtId="0" fontId="10" fillId="2" borderId="0" xfId="0" applyFont="1" applyFill="1"/>
    <xf numFmtId="0" fontId="9" fillId="2" borderId="0" xfId="0" applyFont="1" applyFill="1"/>
    <xf numFmtId="0" fontId="1" fillId="2" borderId="0" xfId="0" applyFont="1" applyFill="1" applyBorder="1"/>
    <xf numFmtId="0" fontId="8" fillId="2" borderId="0" xfId="0" applyFont="1" applyFill="1"/>
    <xf numFmtId="0" fontId="5" fillId="4" borderId="0" xfId="0" applyFont="1" applyFill="1"/>
    <xf numFmtId="0" fontId="3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0" fillId="3" borderId="0" xfId="0" applyFill="1" applyAlignment="1">
      <alignment wrapText="1"/>
    </xf>
    <xf numFmtId="0" fontId="3" fillId="5" borderId="0" xfId="0" applyFont="1" applyFill="1"/>
    <xf numFmtId="0" fontId="0" fillId="5" borderId="0" xfId="0" applyFill="1"/>
    <xf numFmtId="0" fontId="2" fillId="5" borderId="0" xfId="0" applyFont="1" applyFill="1"/>
    <xf numFmtId="0" fontId="1" fillId="5" borderId="0" xfId="0" applyFont="1" applyFill="1"/>
    <xf numFmtId="0" fontId="4" fillId="5" borderId="0" xfId="0" applyFont="1" applyFill="1"/>
    <xf numFmtId="0" fontId="1" fillId="6" borderId="0" xfId="0" applyFont="1" applyFill="1"/>
    <xf numFmtId="0" fontId="0" fillId="6" borderId="0" xfId="0" applyFill="1"/>
    <xf numFmtId="0" fontId="5" fillId="7" borderId="0" xfId="0" applyFont="1" applyFill="1"/>
    <xf numFmtId="0" fontId="1" fillId="7" borderId="0" xfId="0" applyFont="1" applyFill="1"/>
    <xf numFmtId="0" fontId="0" fillId="7" borderId="0" xfId="0" applyFill="1"/>
    <xf numFmtId="0" fontId="0" fillId="7" borderId="0" xfId="0" applyFill="1" applyAlignment="1">
      <alignment wrapText="1"/>
    </xf>
    <xf numFmtId="0" fontId="3" fillId="7" borderId="0" xfId="0" applyFont="1" applyFill="1"/>
    <xf numFmtId="0" fontId="6" fillId="7" borderId="0" xfId="0" applyFont="1" applyFill="1"/>
    <xf numFmtId="0" fontId="3" fillId="8" borderId="0" xfId="0" applyFont="1" applyFill="1"/>
    <xf numFmtId="0" fontId="0" fillId="8" borderId="0" xfId="0" applyFill="1"/>
    <xf numFmtId="0" fontId="2" fillId="8" borderId="0" xfId="0" applyFont="1" applyFill="1"/>
    <xf numFmtId="0" fontId="5" fillId="8" borderId="0" xfId="0" applyFont="1" applyFill="1"/>
    <xf numFmtId="0" fontId="1" fillId="8" borderId="0" xfId="0" applyFont="1" applyFill="1"/>
    <xf numFmtId="0" fontId="0" fillId="9" borderId="0" xfId="0" applyFill="1"/>
    <xf numFmtId="0" fontId="1" fillId="9" borderId="0" xfId="0" applyFont="1" applyFill="1" applyBorder="1"/>
    <xf numFmtId="0" fontId="0" fillId="9" borderId="0" xfId="0" applyFill="1" applyBorder="1"/>
    <xf numFmtId="0" fontId="3" fillId="4" borderId="0" xfId="0" applyFont="1" applyFill="1"/>
    <xf numFmtId="0" fontId="7" fillId="4" borderId="0" xfId="0" applyFont="1" applyFill="1"/>
    <xf numFmtId="0" fontId="0" fillId="0" borderId="0" xfId="0" pivotButton="1"/>
    <xf numFmtId="0" fontId="0" fillId="0" borderId="0" xfId="0" applyNumberFormat="1"/>
    <xf numFmtId="0" fontId="11" fillId="0" borderId="0" xfId="0" applyFont="1" applyAlignment="1"/>
    <xf numFmtId="0" fontId="12" fillId="0" borderId="0" xfId="0" applyFont="1"/>
    <xf numFmtId="0" fontId="13" fillId="0" borderId="0" xfId="0" applyFont="1"/>
    <xf numFmtId="0" fontId="14" fillId="10" borderId="0" xfId="0" applyFont="1" applyFill="1"/>
    <xf numFmtId="0" fontId="0" fillId="0" borderId="0" xfId="0" applyFont="1"/>
    <xf numFmtId="0" fontId="0" fillId="11" borderId="0" xfId="0" applyFill="1"/>
    <xf numFmtId="164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67" fontId="3" fillId="0" borderId="0" xfId="0" applyNumberFormat="1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 patternType="solid">
          <bgColor theme="7" tint="0.79998168889431442"/>
        </patternFill>
      </fill>
    </dxf>
    <dxf>
      <font>
        <color theme="2" tint="-0.8999908444471571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000"/>
        </patternFill>
      </fill>
    </dxf>
    <dxf>
      <numFmt numFmtId="164" formatCode="00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5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07/relationships/slicerCache" Target="slicerCaches/slicerCache8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microsoft.com/office/2007/relationships/slicerCache" Target="slicerCaches/slicerCache9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[Sales_Performance_Analysis.xlsx.xlsx]Total Sales by Category.!PivotTable2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Category.'!$B$3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by Category.'!$A$4:$A$7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'Total Sales by Category.'!$B$4:$B$7</c:f>
              <c:numCache>
                <c:formatCode>General</c:formatCode>
                <c:ptCount val="3"/>
                <c:pt idx="0">
                  <c:v>765500</c:v>
                </c:pt>
                <c:pt idx="1">
                  <c:v>280000</c:v>
                </c:pt>
                <c:pt idx="2">
                  <c:v>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B-4A2F-A726-A7CBF4B5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4"/>
        <c:overlap val="-27"/>
        <c:axId val="213964808"/>
        <c:axId val="8650760"/>
      </c:barChart>
      <c:catAx>
        <c:axId val="21396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0760"/>
        <c:crosses val="autoZero"/>
        <c:auto val="1"/>
        <c:lblAlgn val="ctr"/>
        <c:lblOffset val="100"/>
        <c:noMultiLvlLbl val="0"/>
      </c:catAx>
      <c:valAx>
        <c:axId val="865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[Sales_Performance_Analysis.xlsx.xlsx]Total Profit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Profit by Category'!$A$4:$A$7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'Total Profit by Category'!$B$4:$B$7</c:f>
              <c:numCache>
                <c:formatCode>General</c:formatCode>
                <c:ptCount val="3"/>
                <c:pt idx="0">
                  <c:v>111700</c:v>
                </c:pt>
                <c:pt idx="1">
                  <c:v>56000</c:v>
                </c:pt>
                <c:pt idx="2">
                  <c:v>5820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7-418F-BE60-42C30385D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62248"/>
        <c:axId val="2078881287"/>
      </c:barChart>
      <c:catAx>
        <c:axId val="21396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81287"/>
        <c:crosses val="autoZero"/>
        <c:auto val="1"/>
        <c:lblAlgn val="ctr"/>
        <c:lblOffset val="100"/>
        <c:noMultiLvlLbl val="0"/>
      </c:catAx>
      <c:valAx>
        <c:axId val="207888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[Sales_Performance_Analysis.xlsx.xlsx]Total Sales by state!PivotTable6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by state'!$A$4:$A$9</c:f>
              <c:strCache>
                <c:ptCount val="5"/>
                <c:pt idx="0">
                  <c:v>Karnataka</c:v>
                </c:pt>
                <c:pt idx="1">
                  <c:v>Kerala</c:v>
                </c:pt>
                <c:pt idx="2">
                  <c:v>Tamil Nadu</c:v>
                </c:pt>
                <c:pt idx="3">
                  <c:v>Telangana</c:v>
                </c:pt>
                <c:pt idx="4">
                  <c:v>(blank)</c:v>
                </c:pt>
              </c:strCache>
            </c:strRef>
          </c:cat>
          <c:val>
            <c:numRef>
              <c:f>'Total Sales by state'!$B$4:$B$9</c:f>
              <c:numCache>
                <c:formatCode>General</c:formatCode>
                <c:ptCount val="5"/>
                <c:pt idx="0">
                  <c:v>332900</c:v>
                </c:pt>
                <c:pt idx="1">
                  <c:v>280000</c:v>
                </c:pt>
                <c:pt idx="2">
                  <c:v>432600</c:v>
                </c:pt>
                <c:pt idx="3">
                  <c:v>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3-4071-89B5-C12AC30D6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026184"/>
        <c:axId val="44309000"/>
      </c:barChart>
      <c:catAx>
        <c:axId val="3102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9000"/>
        <c:crosses val="autoZero"/>
        <c:auto val="1"/>
        <c:lblAlgn val="ctr"/>
        <c:lblOffset val="100"/>
        <c:noMultiLvlLbl val="0"/>
      </c:catAx>
      <c:valAx>
        <c:axId val="4430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[Sales_Performance_Analysis.xlsx.xlsx]Total sales by product!PivotTable7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AE-4984-8242-9CB0B94EDC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AE-4984-8242-9CB0B94EDC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AE-4984-8242-9CB0B94EDC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AE-4984-8242-9CB0B94EDC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AE-4984-8242-9CB0B94EDC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AE-4984-8242-9CB0B94EDC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AE-4984-8242-9CB0B94EDC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AE-4984-8242-9CB0B94EDC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AE-4984-8242-9CB0B94EDCD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AE-4984-8242-9CB0B94EDCDD}"/>
              </c:ext>
            </c:extLst>
          </c:dPt>
          <c:cat>
            <c:strRef>
              <c:f>'Total sales by product'!$A$4:$A$14</c:f>
              <c:strCache>
                <c:ptCount val="10"/>
                <c:pt idx="0">
                  <c:v>Laptop</c:v>
                </c:pt>
                <c:pt idx="1">
                  <c:v>Mobile</c:v>
                </c:pt>
                <c:pt idx="2">
                  <c:v>Monitor</c:v>
                </c:pt>
                <c:pt idx="3">
                  <c:v>Office Chair</c:v>
                </c:pt>
                <c:pt idx="4">
                  <c:v>Desk</c:v>
                </c:pt>
                <c:pt idx="5">
                  <c:v>Bookshelf</c:v>
                </c:pt>
                <c:pt idx="6">
                  <c:v>Keyboard</c:v>
                </c:pt>
                <c:pt idx="7">
                  <c:v>Notebook</c:v>
                </c:pt>
                <c:pt idx="8">
                  <c:v>Mouse</c:v>
                </c:pt>
                <c:pt idx="9">
                  <c:v>Pen</c:v>
                </c:pt>
              </c:strCache>
            </c:strRef>
          </c:cat>
          <c:val>
            <c:numRef>
              <c:f>'Total sales by product'!$B$4:$B$14</c:f>
              <c:numCache>
                <c:formatCode>General</c:formatCode>
                <c:ptCount val="10"/>
                <c:pt idx="0">
                  <c:v>330000</c:v>
                </c:pt>
                <c:pt idx="1">
                  <c:v>200000</c:v>
                </c:pt>
                <c:pt idx="2">
                  <c:v>188000</c:v>
                </c:pt>
                <c:pt idx="3">
                  <c:v>100000</c:v>
                </c:pt>
                <c:pt idx="4">
                  <c:v>99000</c:v>
                </c:pt>
                <c:pt idx="5">
                  <c:v>81000</c:v>
                </c:pt>
                <c:pt idx="6">
                  <c:v>31500</c:v>
                </c:pt>
                <c:pt idx="7">
                  <c:v>17200</c:v>
                </c:pt>
                <c:pt idx="8">
                  <c:v>16000</c:v>
                </c:pt>
                <c:pt idx="9">
                  <c:v>11900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E-4E44-892B-B1FEB0252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[Sales_Performance_Analysis.xlsx.xlsx]Category-wise Sales &amp; Profit!PivotTable8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 &amp; Profit'!$A$4:$A$7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'Category-wise Sales &amp; Profit'!$B$4:$B$7</c:f>
              <c:numCache>
                <c:formatCode>General</c:formatCode>
                <c:ptCount val="3"/>
                <c:pt idx="0">
                  <c:v>765500</c:v>
                </c:pt>
                <c:pt idx="1">
                  <c:v>280000</c:v>
                </c:pt>
                <c:pt idx="2">
                  <c:v>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F-451D-9B4D-DA125D21B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25000"/>
        <c:axId val="82327048"/>
      </c:barChart>
      <c:lineChart>
        <c:grouping val="standard"/>
        <c:varyColors val="0"/>
        <c:ser>
          <c:idx val="1"/>
          <c:order val="1"/>
          <c:tx>
            <c:strRef>
              <c:f>'Category-wise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'Category-wise Sales &amp; Profit'!$A$4:$A$7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'Category-wise Sales &amp; Profit'!$C$4:$C$7</c:f>
              <c:numCache>
                <c:formatCode>General</c:formatCode>
                <c:ptCount val="3"/>
                <c:pt idx="0">
                  <c:v>111700</c:v>
                </c:pt>
                <c:pt idx="1">
                  <c:v>56000</c:v>
                </c:pt>
                <c:pt idx="2">
                  <c:v>5820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EF-451D-9B4D-DA125D21B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39336"/>
        <c:axId val="82333704"/>
      </c:lineChart>
      <c:catAx>
        <c:axId val="8232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7048"/>
        <c:crosses val="autoZero"/>
        <c:auto val="1"/>
        <c:lblAlgn val="ctr"/>
        <c:lblOffset val="100"/>
        <c:noMultiLvlLbl val="0"/>
      </c:catAx>
      <c:valAx>
        <c:axId val="8232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5000"/>
        <c:crosses val="autoZero"/>
        <c:crossBetween val="between"/>
      </c:valAx>
      <c:valAx>
        <c:axId val="823337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9336"/>
        <c:crosses val="max"/>
        <c:crossBetween val="between"/>
      </c:valAx>
      <c:catAx>
        <c:axId val="82339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333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[Sales_Performance_Analysis.xlsx.xlsx]FINAL 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88154551429194"/>
              <c:y val="4.4274785864444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654037114003247"/>
              <c:y val="-3.89312511182013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00008677984301"/>
              <c:y val="-0.117557275204258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208527913025772"/>
              <c:y val="2.67176038436307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'FINAL 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8DB-423D-8FEB-EB7E6E5101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DB-423D-8FEB-EB7E6E5101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8DB-423D-8FEB-EB7E6E5101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DB-423D-8FEB-EB7E6E510199}"/>
              </c:ext>
            </c:extLst>
          </c:dPt>
          <c:dLbls>
            <c:dLbl>
              <c:idx val="0"/>
              <c:layout>
                <c:manualLayout>
                  <c:x val="0.12654037114003247"/>
                  <c:y val="-3.8931251118201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DB-423D-8FEB-EB7E6E510199}"/>
                </c:ext>
              </c:extLst>
            </c:dLbl>
            <c:dLbl>
              <c:idx val="1"/>
              <c:layout>
                <c:manualLayout>
                  <c:x val="0.17488154551429194"/>
                  <c:y val="4.427478586444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DB-423D-8FEB-EB7E6E510199}"/>
                </c:ext>
              </c:extLst>
            </c:dLbl>
            <c:dLbl>
              <c:idx val="2"/>
              <c:layout>
                <c:manualLayout>
                  <c:x val="-0.16208527913025772"/>
                  <c:y val="2.6717603843630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8DB-423D-8FEB-EB7E6E510199}"/>
                </c:ext>
              </c:extLst>
            </c:dLbl>
            <c:dLbl>
              <c:idx val="3"/>
              <c:layout>
                <c:manualLayout>
                  <c:x val="0.10000008677984301"/>
                  <c:y val="-0.117557275204258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DB-423D-8FEB-EB7E6E5101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Pivot Tables'!$A$4:$A$8</c:f>
              <c:strCache>
                <c:ptCount val="4"/>
                <c:pt idx="0">
                  <c:v>Karnataka</c:v>
                </c:pt>
                <c:pt idx="1">
                  <c:v>Kerala</c:v>
                </c:pt>
                <c:pt idx="2">
                  <c:v>Tamil Nadu</c:v>
                </c:pt>
                <c:pt idx="3">
                  <c:v>Telangana</c:v>
                </c:pt>
              </c:strCache>
            </c:strRef>
          </c:cat>
          <c:val>
            <c:numRef>
              <c:f>'FINAL Pivot Tables'!$B$4:$B$8</c:f>
              <c:numCache>
                <c:formatCode>General</c:formatCode>
                <c:ptCount val="4"/>
                <c:pt idx="0">
                  <c:v>332900</c:v>
                </c:pt>
                <c:pt idx="1">
                  <c:v>280000</c:v>
                </c:pt>
                <c:pt idx="2">
                  <c:v>432600</c:v>
                </c:pt>
                <c:pt idx="3">
                  <c:v>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B-423D-8FEB-EB7E6E510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[Sales_Performance_Analysis.xlsx.xlsx]FINAL 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088002803131665E-2"/>
              <c:y val="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713692038495189E-2"/>
              <c:y val="-2.083354526095962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8493489182840182E-2"/>
              <c:y val="-2.77771419949001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4742125984251968E-2"/>
              <c:y val="-2.777693006727430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'FINAL 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4C-400D-A020-838DCAE877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4C-400D-A020-838DCAE8775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4C-400D-A020-838DCAE8775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4C-400D-A020-838DCAE8775A}"/>
              </c:ext>
            </c:extLst>
          </c:dPt>
          <c:dLbls>
            <c:dLbl>
              <c:idx val="2"/>
              <c:layout>
                <c:manualLayout>
                  <c:x val="2.4742125984251968E-2"/>
                  <c:y val="-2.777693006727430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4C-400D-A020-838DCAE8775A}"/>
                </c:ext>
              </c:extLst>
            </c:dLbl>
            <c:dLbl>
              <c:idx val="6"/>
              <c:layout>
                <c:manualLayout>
                  <c:x val="1.8493489182840182E-2"/>
                  <c:y val="-2.777714199490017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4C-400D-A020-838DCAE8775A}"/>
                </c:ext>
              </c:extLst>
            </c:dLbl>
            <c:dLbl>
              <c:idx val="7"/>
              <c:layout>
                <c:manualLayout>
                  <c:x val="2.5713692038495189E-2"/>
                  <c:y val="-2.083354526095962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4C-400D-A020-838DCAE8775A}"/>
                </c:ext>
              </c:extLst>
            </c:dLbl>
            <c:dLbl>
              <c:idx val="9"/>
              <c:layout>
                <c:manualLayout>
                  <c:x val="2.7088002803131665E-2"/>
                  <c:y val="2.121889068003332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4C-400D-A020-838DCAE87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'FINAL Pivot Tables'!$D$4:$D$14</c:f>
              <c:strCache>
                <c:ptCount val="10"/>
                <c:pt idx="0">
                  <c:v>Bookshelf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Monitor</c:v>
                </c:pt>
                <c:pt idx="6">
                  <c:v>Mouse</c:v>
                </c:pt>
                <c:pt idx="7">
                  <c:v>Notebook</c:v>
                </c:pt>
                <c:pt idx="8">
                  <c:v>Office Chair</c:v>
                </c:pt>
                <c:pt idx="9">
                  <c:v>Pen</c:v>
                </c:pt>
              </c:strCache>
            </c:strRef>
          </c:cat>
          <c:val>
            <c:numRef>
              <c:f>'FINAL Pivot Tables'!$E$4:$E$14</c:f>
              <c:numCache>
                <c:formatCode>General</c:formatCode>
                <c:ptCount val="10"/>
                <c:pt idx="0" formatCode="00000">
                  <c:v>81000</c:v>
                </c:pt>
                <c:pt idx="1">
                  <c:v>99000</c:v>
                </c:pt>
                <c:pt idx="2">
                  <c:v>31500</c:v>
                </c:pt>
                <c:pt idx="3">
                  <c:v>330000</c:v>
                </c:pt>
                <c:pt idx="4">
                  <c:v>200000</c:v>
                </c:pt>
                <c:pt idx="5">
                  <c:v>188000</c:v>
                </c:pt>
                <c:pt idx="6">
                  <c:v>16000</c:v>
                </c:pt>
                <c:pt idx="7">
                  <c:v>17200</c:v>
                </c:pt>
                <c:pt idx="8">
                  <c:v>100000</c:v>
                </c:pt>
                <c:pt idx="9">
                  <c:v>11900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C-400D-A020-838DCAE87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100"/>
        <c:axId val="718429191"/>
        <c:axId val="718431239"/>
      </c:barChart>
      <c:catAx>
        <c:axId val="718429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431239"/>
        <c:crosses val="autoZero"/>
        <c:auto val="1"/>
        <c:lblAlgn val="ctr"/>
        <c:lblOffset val="100"/>
        <c:noMultiLvlLbl val="0"/>
      </c:catAx>
      <c:valAx>
        <c:axId val="7184312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000" sourceLinked="1"/>
        <c:majorTickMark val="none"/>
        <c:minorTickMark val="none"/>
        <c:tickLblPos val="nextTo"/>
        <c:crossAx val="718429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[Sales_Performance_Analysis.xlsx.xlsx]FINAL 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Customer_Name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Pivot Tables'!$G$4:$G$14</c:f>
              <c:strCache>
                <c:ptCount val="10"/>
                <c:pt idx="0">
                  <c:v>Anitha</c:v>
                </c:pt>
                <c:pt idx="1">
                  <c:v>Arun</c:v>
                </c:pt>
                <c:pt idx="2">
                  <c:v>Divya</c:v>
                </c:pt>
                <c:pt idx="3">
                  <c:v>Karthik</c:v>
                </c:pt>
                <c:pt idx="4">
                  <c:v>Kavya</c:v>
                </c:pt>
                <c:pt idx="5">
                  <c:v>Meena</c:v>
                </c:pt>
                <c:pt idx="6">
                  <c:v>Priya</c:v>
                </c:pt>
                <c:pt idx="7">
                  <c:v>Ravi</c:v>
                </c:pt>
                <c:pt idx="8">
                  <c:v>Suresh</c:v>
                </c:pt>
                <c:pt idx="9">
                  <c:v>Vimal</c:v>
                </c:pt>
              </c:strCache>
            </c:strRef>
          </c:cat>
          <c:val>
            <c:numRef>
              <c:f>'FINAL Pivot Tables'!$H$4:$H$14</c:f>
              <c:numCache>
                <c:formatCode>General</c:formatCode>
                <c:ptCount val="10"/>
                <c:pt idx="0">
                  <c:v>55500</c:v>
                </c:pt>
                <c:pt idx="1">
                  <c:v>330000</c:v>
                </c:pt>
                <c:pt idx="2">
                  <c:v>43200</c:v>
                </c:pt>
                <c:pt idx="3">
                  <c:v>16000</c:v>
                </c:pt>
                <c:pt idx="4">
                  <c:v>77300</c:v>
                </c:pt>
                <c:pt idx="5">
                  <c:v>67600</c:v>
                </c:pt>
                <c:pt idx="6">
                  <c:v>65500</c:v>
                </c:pt>
                <c:pt idx="7">
                  <c:v>200000</c:v>
                </c:pt>
                <c:pt idx="8">
                  <c:v>31500</c:v>
                </c:pt>
                <c:pt idx="9">
                  <c:v>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8-44F3-BB4D-3E69962A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128258567"/>
        <c:axId val="1139528711"/>
      </c:barChart>
      <c:catAx>
        <c:axId val="1128258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528711"/>
        <c:crosses val="autoZero"/>
        <c:auto val="1"/>
        <c:lblAlgn val="ctr"/>
        <c:lblOffset val="100"/>
        <c:noMultiLvlLbl val="0"/>
      </c:catAx>
      <c:valAx>
        <c:axId val="1139528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58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[Sales_Performance_Analysis.xlsx.xlsx]FINAL 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'FINAL 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Pivot Tables'!$J$4:$J$7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'FINAL Pivot Tables'!$K$4:$K$7</c:f>
              <c:numCache>
                <c:formatCode>General</c:formatCode>
                <c:ptCount val="3"/>
                <c:pt idx="0">
                  <c:v>765500</c:v>
                </c:pt>
                <c:pt idx="1">
                  <c:v>280000</c:v>
                </c:pt>
                <c:pt idx="2">
                  <c:v>29100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E-410A-8CD3-612F14DC2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741703"/>
        <c:axId val="859764743"/>
      </c:lineChart>
      <c:catAx>
        <c:axId val="85974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64743"/>
        <c:crosses val="autoZero"/>
        <c:auto val="1"/>
        <c:lblAlgn val="ctr"/>
        <c:lblOffset val="100"/>
        <c:noMultiLvlLbl val="0"/>
      </c:catAx>
      <c:valAx>
        <c:axId val="859764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41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57150</xdr:rowOff>
    </xdr:from>
    <xdr:to>
      <xdr:col>9</xdr:col>
      <xdr:colOff>552450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31FA5-249B-A20F-FE8A-7C35071B5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152400</xdr:rowOff>
    </xdr:from>
    <xdr:to>
      <xdr:col>14</xdr:col>
      <xdr:colOff>0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A6A2073B-00D1-84E4-6E6F-788690C2AA0D}"/>
                </a:ext>
                <a:ext uri="{147F2762-F138-4A5C-976F-8EAC2B608ADB}">
                  <a16:predDERef xmlns:a16="http://schemas.microsoft.com/office/drawing/2014/main" pred="{D8231FA5-249B-A20F-FE8A-7C35071B57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5650" y="342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114300</xdr:rowOff>
    </xdr:from>
    <xdr:to>
      <xdr:col>8</xdr:col>
      <xdr:colOff>209550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8FEF9-C2F2-F2B4-B3D3-207FE0171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571500</xdr:colOff>
      <xdr:row>0</xdr:row>
      <xdr:rowOff>171450</xdr:rowOff>
    </xdr:from>
    <xdr:to>
      <xdr:col>12</xdr:col>
      <xdr:colOff>571500</xdr:colOff>
      <xdr:row>14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 1">
              <a:extLst>
                <a:ext uri="{FF2B5EF4-FFF2-40B4-BE49-F238E27FC236}">
                  <a16:creationId xmlns:a16="http://schemas.microsoft.com/office/drawing/2014/main" id="{657D7399-2D93-C56D-6F35-7DB2DAF6DEEC}"/>
                </a:ext>
                <a:ext uri="{147F2762-F138-4A5C-976F-8EAC2B608ADB}">
                  <a16:predDERef xmlns:a16="http://schemas.microsoft.com/office/drawing/2014/main" pred="{8668FEF9-C2F2-F2B4-B3D3-207FE0171C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5100" y="171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9525</xdr:rowOff>
    </xdr:from>
    <xdr:to>
      <xdr:col>11</xdr:col>
      <xdr:colOff>38100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D3631-C256-745E-C5B9-68CF96134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200025</xdr:colOff>
      <xdr:row>1</xdr:row>
      <xdr:rowOff>76200</xdr:rowOff>
    </xdr:from>
    <xdr:to>
      <xdr:col>15</xdr:col>
      <xdr:colOff>200025</xdr:colOff>
      <xdr:row>15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">
              <a:extLst>
                <a:ext uri="{FF2B5EF4-FFF2-40B4-BE49-F238E27FC236}">
                  <a16:creationId xmlns:a16="http://schemas.microsoft.com/office/drawing/2014/main" id="{B8ACCFFB-D71A-DEFC-8246-973C6EAA2DAA}"/>
                </a:ext>
                <a:ext uri="{147F2762-F138-4A5C-976F-8EAC2B608ADB}">
                  <a16:predDERef xmlns:a16="http://schemas.microsoft.com/office/drawing/2014/main" pred="{DD6D3631-C256-745E-C5B9-68CF961340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5750" y="266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85725</xdr:rowOff>
    </xdr:from>
    <xdr:to>
      <xdr:col>11</xdr:col>
      <xdr:colOff>190500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46FBB-6405-57B8-B942-E5EE8BF04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600075</xdr:colOff>
      <xdr:row>1</xdr:row>
      <xdr:rowOff>85725</xdr:rowOff>
    </xdr:from>
    <xdr:to>
      <xdr:col>14</xdr:col>
      <xdr:colOff>600075</xdr:colOff>
      <xdr:row>15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">
              <a:extLst>
                <a:ext uri="{FF2B5EF4-FFF2-40B4-BE49-F238E27FC236}">
                  <a16:creationId xmlns:a16="http://schemas.microsoft.com/office/drawing/2014/main" id="{349B098B-F082-9D94-BB95-15D49EBF49DD}"/>
                </a:ext>
                <a:ext uri="{147F2762-F138-4A5C-976F-8EAC2B608ADB}">
                  <a16:predDERef xmlns:a16="http://schemas.microsoft.com/office/drawing/2014/main" pred="{F5746FBB-6405-57B8-B942-E5EE8BF04C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6200" y="276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0</xdr:row>
      <xdr:rowOff>180975</xdr:rowOff>
    </xdr:from>
    <xdr:to>
      <xdr:col>11</xdr:col>
      <xdr:colOff>533400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9EED6-5AF7-71D4-9C05-74E6230FF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0</xdr:row>
      <xdr:rowOff>180975</xdr:rowOff>
    </xdr:from>
    <xdr:to>
      <xdr:col>16</xdr:col>
      <xdr:colOff>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 2">
              <a:extLst>
                <a:ext uri="{FF2B5EF4-FFF2-40B4-BE49-F238E27FC236}">
                  <a16:creationId xmlns:a16="http://schemas.microsoft.com/office/drawing/2014/main" id="{C08E37C1-59B8-D8CA-24AC-36242E7B0B36}"/>
                </a:ext>
                <a:ext uri="{147F2762-F138-4A5C-976F-8EAC2B608ADB}">
                  <a16:predDERef xmlns:a16="http://schemas.microsoft.com/office/drawing/2014/main" pred="{1E39EED6-5AF7-71D4-9C05-74E6230FF6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180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171450</xdr:rowOff>
    </xdr:from>
    <xdr:to>
      <xdr:col>5</xdr:col>
      <xdr:colOff>190500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48001-66A0-0F8E-AC79-B7B5CC1DD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36</xdr:row>
      <xdr:rowOff>133350</xdr:rowOff>
    </xdr:from>
    <xdr:to>
      <xdr:col>11</xdr:col>
      <xdr:colOff>200025</xdr:colOff>
      <xdr:row>51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913D7-E377-0169-ECA7-EBC37DE25FB4}"/>
            </a:ext>
            <a:ext uri="{147F2762-F138-4A5C-976F-8EAC2B608ADB}">
              <a16:predDERef xmlns:a16="http://schemas.microsoft.com/office/drawing/2014/main" pred="{AF148001-66A0-0F8E-AC79-B7B5CC1DD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161925</xdr:rowOff>
    </xdr:from>
    <xdr:to>
      <xdr:col>6</xdr:col>
      <xdr:colOff>133350</xdr:colOff>
      <xdr:row>66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C0C0C7-8DFB-FEC4-341F-A228E3A0CE1A}"/>
            </a:ext>
            <a:ext uri="{147F2762-F138-4A5C-976F-8EAC2B608ADB}">
              <a16:predDERef xmlns:a16="http://schemas.microsoft.com/office/drawing/2014/main" pred="{153913D7-E377-0169-ECA7-EBC37DE25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695325</xdr:colOff>
      <xdr:row>52</xdr:row>
      <xdr:rowOff>9525</xdr:rowOff>
    </xdr:from>
    <xdr:to>
      <xdr:col>12</xdr:col>
      <xdr:colOff>276225</xdr:colOff>
      <xdr:row>66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43D90B-18BC-87AA-8106-01B73A33A8E0}"/>
            </a:ext>
            <a:ext uri="{147F2762-F138-4A5C-976F-8EAC2B608ADB}">
              <a16:predDERef xmlns:a16="http://schemas.microsoft.com/office/drawing/2014/main" pred="{18C0C0C7-8DFB-FEC4-341F-A228E3A0C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25</xdr:row>
      <xdr:rowOff>76200</xdr:rowOff>
    </xdr:from>
    <xdr:to>
      <xdr:col>2</xdr:col>
      <xdr:colOff>390525</xdr:colOff>
      <xdr:row>31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ustomer_Name">
              <a:extLst>
                <a:ext uri="{FF2B5EF4-FFF2-40B4-BE49-F238E27FC236}">
                  <a16:creationId xmlns:a16="http://schemas.microsoft.com/office/drawing/2014/main" id="{F03B38B2-7E5B-B44D-5F5C-370BA69ABCE4}"/>
                </a:ext>
                <a:ext uri="{147F2762-F138-4A5C-976F-8EAC2B608ADB}">
                  <a16:predDERef xmlns:a16="http://schemas.microsoft.com/office/drawing/2014/main" pred="{FF43D90B-18BC-87AA-8106-01B73A33A8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9425" y="1628775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18</xdr:row>
      <xdr:rowOff>28575</xdr:rowOff>
    </xdr:from>
    <xdr:to>
      <xdr:col>2</xdr:col>
      <xdr:colOff>238125</xdr:colOff>
      <xdr:row>21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e 1">
              <a:extLst>
                <a:ext uri="{FF2B5EF4-FFF2-40B4-BE49-F238E27FC236}">
                  <a16:creationId xmlns:a16="http://schemas.microsoft.com/office/drawing/2014/main" id="{9C472B91-6E46-2573-1CFE-2590204AD0E3}"/>
                </a:ext>
                <a:ext uri="{147F2762-F138-4A5C-976F-8EAC2B608ADB}">
                  <a16:predDERef xmlns:a16="http://schemas.microsoft.com/office/drawing/2014/main" pred="{F03B38B2-7E5B-B44D-5F5C-370BA69ABC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48475" y="2943225"/>
              <a:ext cx="18288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552450</xdr:colOff>
      <xdr:row>26</xdr:row>
      <xdr:rowOff>38100</xdr:rowOff>
    </xdr:from>
    <xdr:to>
      <xdr:col>8</xdr:col>
      <xdr:colOff>561975</xdr:colOff>
      <xdr:row>29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 1">
              <a:extLst>
                <a:ext uri="{FF2B5EF4-FFF2-40B4-BE49-F238E27FC236}">
                  <a16:creationId xmlns:a16="http://schemas.microsoft.com/office/drawing/2014/main" id="{8436F79C-8C28-B163-DF30-CD1C3BE5FB4A}"/>
                </a:ext>
                <a:ext uri="{147F2762-F138-4A5C-976F-8EAC2B608ADB}">
                  <a16:predDERef xmlns:a16="http://schemas.microsoft.com/office/drawing/2014/main" pred="{9C472B91-6E46-2573-1CFE-2590204AD0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4075" y="2933700"/>
              <a:ext cx="4352925" cy="533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561975</xdr:colOff>
      <xdr:row>18</xdr:row>
      <xdr:rowOff>95250</xdr:rowOff>
    </xdr:from>
    <xdr:to>
      <xdr:col>6</xdr:col>
      <xdr:colOff>171450</xdr:colOff>
      <xdr:row>22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 3">
              <a:extLst>
                <a:ext uri="{FF2B5EF4-FFF2-40B4-BE49-F238E27FC236}">
                  <a16:creationId xmlns:a16="http://schemas.microsoft.com/office/drawing/2014/main" id="{4D0F9443-9623-57AD-27A3-AD33D5E95018}"/>
                </a:ext>
                <a:ext uri="{147F2762-F138-4A5C-976F-8EAC2B608ADB}">
                  <a16:predDERef xmlns:a16="http://schemas.microsoft.com/office/drawing/2014/main" pred="{8436F79C-8C28-B163-DF30-CD1C3BE5FB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1300" y="3524250"/>
              <a:ext cx="1828800" cy="70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938303356481" createdVersion="8" refreshedVersion="8" minRefreshableVersion="3" recordCount="50" xr:uid="{5CD505D4-53F0-42F4-86F8-012BCC42C24E}">
  <cacheSource type="worksheet">
    <worksheetSource ref="A1:I51" sheet="Sales_data"/>
  </cacheSource>
  <cacheFields count="9">
    <cacheField name="Order_ID" numFmtId="0">
      <sharedItems/>
    </cacheField>
    <cacheField name="Order_Date" numFmtId="14">
      <sharedItems containsSemiMixedTypes="0" containsNonDate="0" containsDate="1" containsString="0" minDate="2026-01-05T00:00:00" maxDate="2026-06-23T00:00:00"/>
    </cacheField>
    <cacheField name="Customer_Name" numFmtId="0">
      <sharedItems/>
    </cacheField>
    <cacheField name="State" numFmtId="0">
      <sharedItems count="5">
        <s v="Tamil Nadu"/>
        <s v="Kerala"/>
        <s v="Karnataka"/>
        <s v="Telangana"/>
        <s v=" Tamil Nadu" u="1"/>
      </sharedItems>
    </cacheField>
    <cacheField name="Category" numFmtId="0">
      <sharedItems count="3">
        <s v="Electronics"/>
        <s v="Furniture"/>
        <s v="Stationery"/>
      </sharedItems>
    </cacheField>
    <cacheField name="Product" numFmtId="0">
      <sharedItems count="10">
        <s v="Laptop"/>
        <s v="Office Chair"/>
        <s v="Mobile"/>
        <s v="Notebook"/>
        <s v="Mouse"/>
        <s v="Desk"/>
        <s v="Keyboard"/>
        <s v="Pen"/>
        <s v="Monitor"/>
        <s v="Bookshelf"/>
      </sharedItems>
    </cacheField>
    <cacheField name="Sales" numFmtId="0">
      <sharedItems containsSemiMixedTypes="0" containsString="0" containsNumber="1" containsInteger="1" minValue="1200" maxValue="90000" count="40">
        <n v="55000"/>
        <n v="12000"/>
        <n v="30000"/>
        <n v="2500"/>
        <n v="2400"/>
        <n v="18000"/>
        <n v="4500"/>
        <n v="1200"/>
        <n v="28000"/>
        <n v="15000"/>
        <n v="60000"/>
        <n v="3000"/>
        <n v="40000"/>
        <n v="16000"/>
        <n v="3200"/>
        <n v="1800"/>
        <n v="5400"/>
        <n v="24000"/>
        <n v="35000"/>
        <n v="2200"/>
        <n v="75000"/>
        <n v="22000"/>
        <n v="50000"/>
        <n v="4000"/>
        <n v="20000"/>
        <n v="6300"/>
        <n v="3500"/>
        <n v="42000"/>
        <n v="1500"/>
        <n v="19000"/>
        <n v="2800"/>
        <n v="7200"/>
        <n v="38000"/>
        <n v="2100"/>
        <n v="90000"/>
        <n v="27000"/>
        <n v="45000"/>
        <n v="3600"/>
        <n v="25000"/>
        <n v="8100"/>
      </sharedItems>
    </cacheField>
    <cacheField name="Quantity" numFmtId="0">
      <sharedItems containsSemiMixedTypes="0" containsString="0" containsNumber="1" containsInteger="1" minValue="2" maxValue="45"/>
    </cacheField>
    <cacheField name="Profit" numFmtId="0">
      <sharedItems containsSemiMixedTypes="0" containsString="0" containsNumber="1" containsInteger="1" minValue="240" maxValue="12000"/>
    </cacheField>
  </cacheFields>
  <extLst>
    <ext xmlns:x14="http://schemas.microsoft.com/office/spreadsheetml/2009/9/main" uri="{725AE2AE-9491-48be-B2B4-4EB974FC3084}">
      <x14:pivotCacheDefinition pivotCacheId="85366366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938303587965" createdVersion="8" refreshedVersion="8" minRefreshableVersion="3" recordCount="101" xr:uid="{159A54B0-703E-4EC1-BA88-F8C28FFC43F2}">
  <cacheSource type="worksheet">
    <worksheetSource ref="A1:I1048576" sheet="Sales_data"/>
  </cacheSource>
  <cacheFields count="9">
    <cacheField name="Order_ID" numFmtId="0">
      <sharedItems containsBlank="1"/>
    </cacheField>
    <cacheField name="Order_Date" numFmtId="0">
      <sharedItems containsNonDate="0" containsDate="1" containsString="0" containsBlank="1" minDate="2026-01-05T00:00:00" maxDate="2026-06-23T00:00:00"/>
    </cacheField>
    <cacheField name="Customer_Name" numFmtId="0">
      <sharedItems containsBlank="1"/>
    </cacheField>
    <cacheField name="State" numFmtId="0">
      <sharedItems containsBlank="1" count="6">
        <s v="Tamil Nadu"/>
        <s v="Kerala"/>
        <s v="Karnataka"/>
        <s v="Telangana"/>
        <m/>
        <s v=" Tamil Nadu" u="1"/>
      </sharedItems>
    </cacheField>
    <cacheField name="Category" numFmtId="0">
      <sharedItems containsBlank="1"/>
    </cacheField>
    <cacheField name="Product" numFmtId="0">
      <sharedItems containsBlank="1"/>
    </cacheField>
    <cacheField name="Sales" numFmtId="0">
      <sharedItems containsString="0" containsBlank="1" containsNumber="1" containsInteger="1" minValue="1200" maxValue="90000" count="41">
        <n v="55000"/>
        <n v="12000"/>
        <n v="30000"/>
        <n v="2500"/>
        <n v="2400"/>
        <n v="18000"/>
        <n v="4500"/>
        <n v="1200"/>
        <n v="28000"/>
        <n v="15000"/>
        <n v="60000"/>
        <n v="3000"/>
        <n v="40000"/>
        <n v="16000"/>
        <n v="3200"/>
        <n v="1800"/>
        <n v="5400"/>
        <n v="24000"/>
        <n v="35000"/>
        <n v="2200"/>
        <n v="75000"/>
        <n v="22000"/>
        <n v="50000"/>
        <n v="4000"/>
        <n v="20000"/>
        <n v="6300"/>
        <n v="3500"/>
        <n v="42000"/>
        <n v="1500"/>
        <n v="19000"/>
        <n v="2800"/>
        <n v="7200"/>
        <n v="38000"/>
        <n v="2100"/>
        <n v="90000"/>
        <n v="27000"/>
        <n v="45000"/>
        <n v="3600"/>
        <n v="25000"/>
        <n v="8100"/>
        <m/>
      </sharedItems>
    </cacheField>
    <cacheField name="Quantity" numFmtId="0">
      <sharedItems containsString="0" containsBlank="1" containsNumber="1" containsInteger="1" minValue="2" maxValue="45"/>
    </cacheField>
    <cacheField name="Profit" numFmtId="0">
      <sharedItems containsString="0" containsBlank="1" containsNumber="1" containsInteger="1" minValue="240" maxValue="12000"/>
    </cacheField>
  </cacheFields>
  <extLst>
    <ext xmlns:x14="http://schemas.microsoft.com/office/spreadsheetml/2009/9/main" uri="{725AE2AE-9491-48be-B2B4-4EB974FC3084}">
      <x14:pivotCacheDefinition pivotCacheId="132663486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4.928085300926" createdVersion="8" refreshedVersion="8" minRefreshableVersion="3" recordCount="50" xr:uid="{8790E1A7-7CAB-4D39-A87A-7B421F00DF83}">
  <cacheSource type="worksheet">
    <worksheetSource name="Table1"/>
  </cacheSource>
  <cacheFields count="9">
    <cacheField name="Order_ID" numFmtId="0">
      <sharedItems/>
    </cacheField>
    <cacheField name="Order_Date" numFmtId="14">
      <sharedItems containsSemiMixedTypes="0" containsNonDate="0" containsDate="1" containsString="0" minDate="2026-01-05T00:00:00" maxDate="2026-06-23T00:00:00"/>
    </cacheField>
    <cacheField name="Customer_Name" numFmtId="0">
      <sharedItems count="10">
        <s v="Arun"/>
        <s v="Priya"/>
        <s v="Ravi"/>
        <s v="Divya"/>
        <s v="Karthik"/>
        <s v="Meena"/>
        <s v="Suresh"/>
        <s v="Anitha"/>
        <s v="Vimal"/>
        <s v="Kavya"/>
      </sharedItems>
    </cacheField>
    <cacheField name="State" numFmtId="0">
      <sharedItems count="4">
        <s v="Tamil Nadu"/>
        <s v="Kerala"/>
        <s v="Karnataka"/>
        <s v="Telangana"/>
      </sharedItems>
    </cacheField>
    <cacheField name="Category" numFmtId="0">
      <sharedItems count="3">
        <s v="Electronics"/>
        <s v="Furniture"/>
        <s v="Stationery"/>
      </sharedItems>
    </cacheField>
    <cacheField name="Product" numFmtId="0">
      <sharedItems count="10">
        <s v="Laptop"/>
        <s v="Office Chair"/>
        <s v="Mobile"/>
        <s v="Notebook"/>
        <s v="Mouse"/>
        <s v="Desk"/>
        <s v="Keyboard"/>
        <s v="Pen"/>
        <s v="Monitor"/>
        <s v="Bookshelf"/>
      </sharedItems>
    </cacheField>
    <cacheField name="Sales" numFmtId="0">
      <sharedItems containsSemiMixedTypes="0" containsString="0" containsNumber="1" containsInteger="1" minValue="1200" maxValue="90000"/>
    </cacheField>
    <cacheField name="Quantity" numFmtId="0">
      <sharedItems containsSemiMixedTypes="0" containsString="0" containsNumber="1" containsInteger="1" minValue="2" maxValue="45"/>
    </cacheField>
    <cacheField name="Profit" numFmtId="0">
      <sharedItems containsSemiMixedTypes="0" containsString="0" containsNumber="1" containsInteger="1" minValue="240" maxValue="12000"/>
    </cacheField>
  </cacheFields>
  <extLst>
    <ext xmlns:x14="http://schemas.microsoft.com/office/spreadsheetml/2009/9/main" uri="{725AE2AE-9491-48be-B2B4-4EB974FC3084}">
      <x14:pivotCacheDefinition pivotCacheId="15447698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1"/>
    <d v="2026-01-05T00:00:00"/>
    <s v="Arun"/>
    <x v="0"/>
    <x v="0"/>
    <x v="0"/>
    <x v="0"/>
    <n v="2"/>
    <n v="7000"/>
  </r>
  <r>
    <s v="ORD002"/>
    <d v="2026-01-07T00:00:00"/>
    <s v="Priya"/>
    <x v="1"/>
    <x v="1"/>
    <x v="1"/>
    <x v="1"/>
    <n v="3"/>
    <n v="2400"/>
  </r>
  <r>
    <s v="ORD003"/>
    <d v="2026-01-10T00:00:00"/>
    <s v="Ravi"/>
    <x v="2"/>
    <x v="0"/>
    <x v="2"/>
    <x v="2"/>
    <n v="3"/>
    <n v="4500"/>
  </r>
  <r>
    <s v="ORD004"/>
    <d v="2026-01-13T00:00:00"/>
    <s v="Divya"/>
    <x v="3"/>
    <x v="2"/>
    <x v="3"/>
    <x v="3"/>
    <n v="10"/>
    <n v="500"/>
  </r>
  <r>
    <s v="ORD005"/>
    <d v="2026-01-16T00:00:00"/>
    <s v="Karthik"/>
    <x v="0"/>
    <x v="0"/>
    <x v="4"/>
    <x v="4"/>
    <n v="6"/>
    <n v="480"/>
  </r>
  <r>
    <s v="ORD006"/>
    <d v="2026-01-20T00:00:00"/>
    <s v="Meena"/>
    <x v="1"/>
    <x v="1"/>
    <x v="5"/>
    <x v="5"/>
    <n v="2"/>
    <n v="3600"/>
  </r>
  <r>
    <s v="ORD007"/>
    <d v="2026-01-23T00:00:00"/>
    <s v="Suresh"/>
    <x v="2"/>
    <x v="0"/>
    <x v="6"/>
    <x v="6"/>
    <n v="5"/>
    <n v="900"/>
  </r>
  <r>
    <s v="ORD008"/>
    <d v="2026-01-27T00:00:00"/>
    <s v="Anitha"/>
    <x v="3"/>
    <x v="2"/>
    <x v="7"/>
    <x v="7"/>
    <n v="20"/>
    <n v="240"/>
  </r>
  <r>
    <s v="ORD009"/>
    <d v="2026-02-02T00:00:00"/>
    <s v="Vimal"/>
    <x v="0"/>
    <x v="0"/>
    <x v="8"/>
    <x v="8"/>
    <n v="2"/>
    <n v="4200"/>
  </r>
  <r>
    <s v="ORD010"/>
    <d v="2026-02-05T00:00:00"/>
    <s v="Kavya"/>
    <x v="1"/>
    <x v="1"/>
    <x v="9"/>
    <x v="9"/>
    <n v="2"/>
    <n v="3000"/>
  </r>
  <r>
    <s v="ORD011"/>
    <d v="2026-02-08T00:00:00"/>
    <s v="Arun"/>
    <x v="2"/>
    <x v="0"/>
    <x v="0"/>
    <x v="10"/>
    <n v="2"/>
    <n v="8000"/>
  </r>
  <r>
    <s v="ORD012"/>
    <d v="2026-02-12T00:00:00"/>
    <s v="Priya"/>
    <x v="3"/>
    <x v="2"/>
    <x v="3"/>
    <x v="11"/>
    <n v="12"/>
    <n v="600"/>
  </r>
  <r>
    <s v="ORD013"/>
    <d v="2026-02-15T00:00:00"/>
    <s v="Ravi"/>
    <x v="0"/>
    <x v="0"/>
    <x v="2"/>
    <x v="12"/>
    <n v="4"/>
    <n v="6000"/>
  </r>
  <r>
    <s v="ORD014"/>
    <d v="2026-02-18T00:00:00"/>
    <s v="Divya"/>
    <x v="1"/>
    <x v="1"/>
    <x v="1"/>
    <x v="13"/>
    <n v="4"/>
    <n v="3200"/>
  </r>
  <r>
    <s v="ORD015"/>
    <d v="2026-02-21T00:00:00"/>
    <s v="Karthik"/>
    <x v="2"/>
    <x v="0"/>
    <x v="4"/>
    <x v="14"/>
    <n v="8"/>
    <n v="640"/>
  </r>
  <r>
    <s v="ORD016"/>
    <d v="2026-02-25T00:00:00"/>
    <s v="Meena"/>
    <x v="3"/>
    <x v="2"/>
    <x v="7"/>
    <x v="15"/>
    <n v="30"/>
    <n v="360"/>
  </r>
  <r>
    <s v="ORD017"/>
    <d v="2026-03-01T00:00:00"/>
    <s v="Suresh"/>
    <x v="0"/>
    <x v="0"/>
    <x v="6"/>
    <x v="16"/>
    <n v="6"/>
    <n v="1080"/>
  </r>
  <r>
    <s v="ORD018"/>
    <d v="2026-03-04T00:00:00"/>
    <s v="Anitha"/>
    <x v="1"/>
    <x v="1"/>
    <x v="5"/>
    <x v="17"/>
    <n v="3"/>
    <n v="4800"/>
  </r>
  <r>
    <s v="ORD019"/>
    <d v="2026-03-08T00:00:00"/>
    <s v="Vimal"/>
    <x v="2"/>
    <x v="0"/>
    <x v="8"/>
    <x v="18"/>
    <n v="2"/>
    <n v="5250"/>
  </r>
  <r>
    <s v="ORD020"/>
    <d v="2026-03-12T00:00:00"/>
    <s v="Kavya"/>
    <x v="3"/>
    <x v="2"/>
    <x v="3"/>
    <x v="19"/>
    <n v="9"/>
    <n v="440"/>
  </r>
  <r>
    <s v="ORD021"/>
    <d v="2026-03-15T00:00:00"/>
    <s v="Arun"/>
    <x v="0"/>
    <x v="0"/>
    <x v="0"/>
    <x v="20"/>
    <n v="3"/>
    <n v="10000"/>
  </r>
  <r>
    <s v="ORD022"/>
    <d v="2026-03-18T00:00:00"/>
    <s v="Priya"/>
    <x v="1"/>
    <x v="1"/>
    <x v="9"/>
    <x v="21"/>
    <n v="3"/>
    <n v="4400"/>
  </r>
  <r>
    <s v="ORD023"/>
    <d v="2026-03-21T00:00:00"/>
    <s v="Ravi"/>
    <x v="2"/>
    <x v="0"/>
    <x v="2"/>
    <x v="22"/>
    <n v="5"/>
    <n v="7500"/>
  </r>
  <r>
    <s v="ORD024"/>
    <d v="2026-03-25T00:00:00"/>
    <s v="Divya"/>
    <x v="3"/>
    <x v="2"/>
    <x v="7"/>
    <x v="3"/>
    <n v="40"/>
    <n v="500"/>
  </r>
  <r>
    <s v="ORD025"/>
    <d v="2026-03-28T00:00:00"/>
    <s v="Karthik"/>
    <x v="0"/>
    <x v="0"/>
    <x v="4"/>
    <x v="23"/>
    <n v="10"/>
    <n v="800"/>
  </r>
  <r>
    <s v="ORD026"/>
    <d v="2026-04-02T00:00:00"/>
    <s v="Meena"/>
    <x v="1"/>
    <x v="1"/>
    <x v="1"/>
    <x v="24"/>
    <n v="5"/>
    <n v="4000"/>
  </r>
  <r>
    <s v="ORD027"/>
    <d v="2026-04-05T00:00:00"/>
    <s v="Suresh"/>
    <x v="2"/>
    <x v="0"/>
    <x v="6"/>
    <x v="25"/>
    <n v="7"/>
    <n v="1260"/>
  </r>
  <r>
    <s v="ORD028"/>
    <d v="2026-04-09T00:00:00"/>
    <s v="Anitha"/>
    <x v="3"/>
    <x v="2"/>
    <x v="3"/>
    <x v="26"/>
    <n v="14"/>
    <n v="700"/>
  </r>
  <r>
    <s v="ORD029"/>
    <d v="2026-04-12T00:00:00"/>
    <s v="Vimal"/>
    <x v="0"/>
    <x v="0"/>
    <x v="8"/>
    <x v="27"/>
    <n v="3"/>
    <n v="6300"/>
  </r>
  <r>
    <s v="ORD030"/>
    <d v="2026-04-15T00:00:00"/>
    <s v="Kavya"/>
    <x v="1"/>
    <x v="1"/>
    <x v="5"/>
    <x v="2"/>
    <n v="4"/>
    <n v="6000"/>
  </r>
  <r>
    <s v="ORD031"/>
    <d v="2026-04-19T00:00:00"/>
    <s v="Arun"/>
    <x v="2"/>
    <x v="0"/>
    <x v="0"/>
    <x v="22"/>
    <n v="2"/>
    <n v="7000"/>
  </r>
  <r>
    <s v="ORD032"/>
    <d v="2026-04-22T00:00:00"/>
    <s v="Priya"/>
    <x v="3"/>
    <x v="2"/>
    <x v="7"/>
    <x v="28"/>
    <n v="25"/>
    <n v="300"/>
  </r>
  <r>
    <s v="ORD033"/>
    <d v="2026-04-25T00:00:00"/>
    <s v="Ravi"/>
    <x v="0"/>
    <x v="0"/>
    <x v="2"/>
    <x v="18"/>
    <n v="3"/>
    <n v="5250"/>
  </r>
  <r>
    <s v="ORD034"/>
    <d v="2026-04-28T00:00:00"/>
    <s v="Divya"/>
    <x v="1"/>
    <x v="1"/>
    <x v="9"/>
    <x v="29"/>
    <n v="2"/>
    <n v="3800"/>
  </r>
  <r>
    <s v="ORD035"/>
    <d v="2026-05-02T00:00:00"/>
    <s v="Karthik"/>
    <x v="2"/>
    <x v="0"/>
    <x v="4"/>
    <x v="30"/>
    <n v="7"/>
    <n v="560"/>
  </r>
  <r>
    <s v="ORD036"/>
    <d v="2026-05-05T00:00:00"/>
    <s v="Meena"/>
    <x v="3"/>
    <x v="2"/>
    <x v="3"/>
    <x v="30"/>
    <n v="11"/>
    <n v="560"/>
  </r>
  <r>
    <s v="ORD037"/>
    <d v="2026-05-08T00:00:00"/>
    <s v="Suresh"/>
    <x v="0"/>
    <x v="0"/>
    <x v="6"/>
    <x v="31"/>
    <n v="8"/>
    <n v="1440"/>
  </r>
  <r>
    <s v="ORD038"/>
    <d v="2026-05-12T00:00:00"/>
    <s v="Anitha"/>
    <x v="1"/>
    <x v="1"/>
    <x v="1"/>
    <x v="17"/>
    <n v="6"/>
    <n v="4800"/>
  </r>
  <r>
    <s v="ORD039"/>
    <d v="2026-05-15T00:00:00"/>
    <s v="Vimal"/>
    <x v="2"/>
    <x v="0"/>
    <x v="8"/>
    <x v="32"/>
    <n v="2"/>
    <n v="5700"/>
  </r>
  <r>
    <s v="ORD040"/>
    <d v="2026-05-18T00:00:00"/>
    <s v="Kavya"/>
    <x v="3"/>
    <x v="2"/>
    <x v="7"/>
    <x v="33"/>
    <n v="35"/>
    <n v="420"/>
  </r>
  <r>
    <s v="ORD041"/>
    <d v="2026-05-22T00:00:00"/>
    <s v="Arun"/>
    <x v="0"/>
    <x v="0"/>
    <x v="0"/>
    <x v="34"/>
    <n v="3"/>
    <n v="12000"/>
  </r>
  <r>
    <s v="ORD042"/>
    <d v="2026-05-25T00:00:00"/>
    <s v="Priya"/>
    <x v="1"/>
    <x v="1"/>
    <x v="5"/>
    <x v="35"/>
    <n v="3"/>
    <n v="5400"/>
  </r>
  <r>
    <s v="ORD043"/>
    <d v="2026-05-28T00:00:00"/>
    <s v="Ravi"/>
    <x v="2"/>
    <x v="0"/>
    <x v="2"/>
    <x v="36"/>
    <n v="4"/>
    <n v="6750"/>
  </r>
  <r>
    <s v="ORD044"/>
    <d v="2026-06-02T00:00:00"/>
    <s v="Divya"/>
    <x v="3"/>
    <x v="2"/>
    <x v="3"/>
    <x v="14"/>
    <n v="13"/>
    <n v="640"/>
  </r>
  <r>
    <s v="ORD045"/>
    <d v="2026-06-05T00:00:00"/>
    <s v="Karthik"/>
    <x v="0"/>
    <x v="0"/>
    <x v="4"/>
    <x v="37"/>
    <n v="9"/>
    <n v="720"/>
  </r>
  <r>
    <s v="ORD046"/>
    <d v="2026-06-09T00:00:00"/>
    <s v="Meena"/>
    <x v="1"/>
    <x v="1"/>
    <x v="9"/>
    <x v="38"/>
    <n v="3"/>
    <n v="5000"/>
  </r>
  <r>
    <s v="ORD047"/>
    <d v="2026-06-12T00:00:00"/>
    <s v="Suresh"/>
    <x v="2"/>
    <x v="0"/>
    <x v="6"/>
    <x v="39"/>
    <n v="9"/>
    <n v="1620"/>
  </r>
  <r>
    <s v="ORD048"/>
    <d v="2026-06-15T00:00:00"/>
    <s v="Anitha"/>
    <x v="3"/>
    <x v="2"/>
    <x v="7"/>
    <x v="30"/>
    <n v="45"/>
    <n v="560"/>
  </r>
  <r>
    <s v="ORD049"/>
    <d v="2026-06-19T00:00:00"/>
    <s v="Vimal"/>
    <x v="0"/>
    <x v="0"/>
    <x v="8"/>
    <x v="36"/>
    <n v="3"/>
    <n v="6750"/>
  </r>
  <r>
    <s v="ORD050"/>
    <d v="2026-06-22T00:00:00"/>
    <s v="Kavya"/>
    <x v="1"/>
    <x v="1"/>
    <x v="1"/>
    <x v="8"/>
    <n v="7"/>
    <n v="5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ORD001"/>
    <d v="2026-01-05T00:00:00"/>
    <s v="Arun"/>
    <x v="0"/>
    <s v="Electronics"/>
    <s v="Laptop"/>
    <x v="0"/>
    <n v="2"/>
    <n v="7000"/>
  </r>
  <r>
    <s v="ORD002"/>
    <d v="2026-01-07T00:00:00"/>
    <s v="Priya"/>
    <x v="1"/>
    <s v="Furniture"/>
    <s v="Office Chair"/>
    <x v="1"/>
    <n v="3"/>
    <n v="2400"/>
  </r>
  <r>
    <s v="ORD003"/>
    <d v="2026-01-10T00:00:00"/>
    <s v="Ravi"/>
    <x v="2"/>
    <s v="Electronics"/>
    <s v="Mobile"/>
    <x v="2"/>
    <n v="3"/>
    <n v="4500"/>
  </r>
  <r>
    <s v="ORD004"/>
    <d v="2026-01-13T00:00:00"/>
    <s v="Divya"/>
    <x v="3"/>
    <s v="Stationery"/>
    <s v="Notebook"/>
    <x v="3"/>
    <n v="10"/>
    <n v="500"/>
  </r>
  <r>
    <s v="ORD005"/>
    <d v="2026-01-16T00:00:00"/>
    <s v="Karthik"/>
    <x v="0"/>
    <s v="Electronics"/>
    <s v="Mouse"/>
    <x v="4"/>
    <n v="6"/>
    <n v="480"/>
  </r>
  <r>
    <s v="ORD006"/>
    <d v="2026-01-20T00:00:00"/>
    <s v="Meena"/>
    <x v="1"/>
    <s v="Furniture"/>
    <s v="Desk"/>
    <x v="5"/>
    <n v="2"/>
    <n v="3600"/>
  </r>
  <r>
    <s v="ORD007"/>
    <d v="2026-01-23T00:00:00"/>
    <s v="Suresh"/>
    <x v="2"/>
    <s v="Electronics"/>
    <s v="Keyboard"/>
    <x v="6"/>
    <n v="5"/>
    <n v="900"/>
  </r>
  <r>
    <s v="ORD008"/>
    <d v="2026-01-27T00:00:00"/>
    <s v="Anitha"/>
    <x v="3"/>
    <s v="Stationery"/>
    <s v="Pen"/>
    <x v="7"/>
    <n v="20"/>
    <n v="240"/>
  </r>
  <r>
    <s v="ORD009"/>
    <d v="2026-02-02T00:00:00"/>
    <s v="Vimal"/>
    <x v="0"/>
    <s v="Electronics"/>
    <s v="Monitor"/>
    <x v="8"/>
    <n v="2"/>
    <n v="4200"/>
  </r>
  <r>
    <s v="ORD010"/>
    <d v="2026-02-05T00:00:00"/>
    <s v="Kavya"/>
    <x v="1"/>
    <s v="Furniture"/>
    <s v="Bookshelf"/>
    <x v="9"/>
    <n v="2"/>
    <n v="3000"/>
  </r>
  <r>
    <s v="ORD011"/>
    <d v="2026-02-08T00:00:00"/>
    <s v="Arun"/>
    <x v="2"/>
    <s v="Electronics"/>
    <s v="Laptop"/>
    <x v="10"/>
    <n v="2"/>
    <n v="8000"/>
  </r>
  <r>
    <s v="ORD012"/>
    <d v="2026-02-12T00:00:00"/>
    <s v="Priya"/>
    <x v="3"/>
    <s v="Stationery"/>
    <s v="Notebook"/>
    <x v="11"/>
    <n v="12"/>
    <n v="600"/>
  </r>
  <r>
    <s v="ORD013"/>
    <d v="2026-02-15T00:00:00"/>
    <s v="Ravi"/>
    <x v="0"/>
    <s v="Electronics"/>
    <s v="Mobile"/>
    <x v="12"/>
    <n v="4"/>
    <n v="6000"/>
  </r>
  <r>
    <s v="ORD014"/>
    <d v="2026-02-18T00:00:00"/>
    <s v="Divya"/>
    <x v="1"/>
    <s v="Furniture"/>
    <s v="Office Chair"/>
    <x v="13"/>
    <n v="4"/>
    <n v="3200"/>
  </r>
  <r>
    <s v="ORD015"/>
    <d v="2026-02-21T00:00:00"/>
    <s v="Karthik"/>
    <x v="2"/>
    <s v="Electronics"/>
    <s v="Mouse"/>
    <x v="14"/>
    <n v="8"/>
    <n v="640"/>
  </r>
  <r>
    <s v="ORD016"/>
    <d v="2026-02-25T00:00:00"/>
    <s v="Meena"/>
    <x v="3"/>
    <s v="Stationery"/>
    <s v="Pen"/>
    <x v="15"/>
    <n v="30"/>
    <n v="360"/>
  </r>
  <r>
    <s v="ORD017"/>
    <d v="2026-03-01T00:00:00"/>
    <s v="Suresh"/>
    <x v="0"/>
    <s v="Electronics"/>
    <s v="Keyboard"/>
    <x v="16"/>
    <n v="6"/>
    <n v="1080"/>
  </r>
  <r>
    <s v="ORD018"/>
    <d v="2026-03-04T00:00:00"/>
    <s v="Anitha"/>
    <x v="1"/>
    <s v="Furniture"/>
    <s v="Desk"/>
    <x v="17"/>
    <n v="3"/>
    <n v="4800"/>
  </r>
  <r>
    <s v="ORD019"/>
    <d v="2026-03-08T00:00:00"/>
    <s v="Vimal"/>
    <x v="2"/>
    <s v="Electronics"/>
    <s v="Monitor"/>
    <x v="18"/>
    <n v="2"/>
    <n v="5250"/>
  </r>
  <r>
    <s v="ORD020"/>
    <d v="2026-03-12T00:00:00"/>
    <s v="Kavya"/>
    <x v="3"/>
    <s v="Stationery"/>
    <s v="Notebook"/>
    <x v="19"/>
    <n v="9"/>
    <n v="440"/>
  </r>
  <r>
    <s v="ORD021"/>
    <d v="2026-03-15T00:00:00"/>
    <s v="Arun"/>
    <x v="0"/>
    <s v="Electronics"/>
    <s v="Laptop"/>
    <x v="20"/>
    <n v="3"/>
    <n v="10000"/>
  </r>
  <r>
    <s v="ORD022"/>
    <d v="2026-03-18T00:00:00"/>
    <s v="Priya"/>
    <x v="1"/>
    <s v="Furniture"/>
    <s v="Bookshelf"/>
    <x v="21"/>
    <n v="3"/>
    <n v="4400"/>
  </r>
  <r>
    <s v="ORD023"/>
    <d v="2026-03-21T00:00:00"/>
    <s v="Ravi"/>
    <x v="2"/>
    <s v="Electronics"/>
    <s v="Mobile"/>
    <x v="22"/>
    <n v="5"/>
    <n v="7500"/>
  </r>
  <r>
    <s v="ORD024"/>
    <d v="2026-03-25T00:00:00"/>
    <s v="Divya"/>
    <x v="3"/>
    <s v="Stationery"/>
    <s v="Pen"/>
    <x v="3"/>
    <n v="40"/>
    <n v="500"/>
  </r>
  <r>
    <s v="ORD025"/>
    <d v="2026-03-28T00:00:00"/>
    <s v="Karthik"/>
    <x v="0"/>
    <s v="Electronics"/>
    <s v="Mouse"/>
    <x v="23"/>
    <n v="10"/>
    <n v="800"/>
  </r>
  <r>
    <s v="ORD026"/>
    <d v="2026-04-02T00:00:00"/>
    <s v="Meena"/>
    <x v="1"/>
    <s v="Furniture"/>
    <s v="Office Chair"/>
    <x v="24"/>
    <n v="5"/>
    <n v="4000"/>
  </r>
  <r>
    <s v="ORD027"/>
    <d v="2026-04-05T00:00:00"/>
    <s v="Suresh"/>
    <x v="2"/>
    <s v="Electronics"/>
    <s v="Keyboard"/>
    <x v="25"/>
    <n v="7"/>
    <n v="1260"/>
  </r>
  <r>
    <s v="ORD028"/>
    <d v="2026-04-09T00:00:00"/>
    <s v="Anitha"/>
    <x v="3"/>
    <s v="Stationery"/>
    <s v="Notebook"/>
    <x v="26"/>
    <n v="14"/>
    <n v="700"/>
  </r>
  <r>
    <s v="ORD029"/>
    <d v="2026-04-12T00:00:00"/>
    <s v="Vimal"/>
    <x v="0"/>
    <s v="Electronics"/>
    <s v="Monitor"/>
    <x v="27"/>
    <n v="3"/>
    <n v="6300"/>
  </r>
  <r>
    <s v="ORD030"/>
    <d v="2026-04-15T00:00:00"/>
    <s v="Kavya"/>
    <x v="1"/>
    <s v="Furniture"/>
    <s v="Desk"/>
    <x v="2"/>
    <n v="4"/>
    <n v="6000"/>
  </r>
  <r>
    <s v="ORD031"/>
    <d v="2026-04-19T00:00:00"/>
    <s v="Arun"/>
    <x v="2"/>
    <s v="Electronics"/>
    <s v="Laptop"/>
    <x v="22"/>
    <n v="2"/>
    <n v="7000"/>
  </r>
  <r>
    <s v="ORD032"/>
    <d v="2026-04-22T00:00:00"/>
    <s v="Priya"/>
    <x v="3"/>
    <s v="Stationery"/>
    <s v="Pen"/>
    <x v="28"/>
    <n v="25"/>
    <n v="300"/>
  </r>
  <r>
    <s v="ORD033"/>
    <d v="2026-04-25T00:00:00"/>
    <s v="Ravi"/>
    <x v="0"/>
    <s v="Electronics"/>
    <s v="Mobile"/>
    <x v="18"/>
    <n v="3"/>
    <n v="5250"/>
  </r>
  <r>
    <s v="ORD034"/>
    <d v="2026-04-28T00:00:00"/>
    <s v="Divya"/>
    <x v="1"/>
    <s v="Furniture"/>
    <s v="Bookshelf"/>
    <x v="29"/>
    <n v="2"/>
    <n v="3800"/>
  </r>
  <r>
    <s v="ORD035"/>
    <d v="2026-05-02T00:00:00"/>
    <s v="Karthik"/>
    <x v="2"/>
    <s v="Electronics"/>
    <s v="Mouse"/>
    <x v="30"/>
    <n v="7"/>
    <n v="560"/>
  </r>
  <r>
    <s v="ORD036"/>
    <d v="2026-05-05T00:00:00"/>
    <s v="Meena"/>
    <x v="3"/>
    <s v="Stationery"/>
    <s v="Notebook"/>
    <x v="30"/>
    <n v="11"/>
    <n v="560"/>
  </r>
  <r>
    <s v="ORD037"/>
    <d v="2026-05-08T00:00:00"/>
    <s v="Suresh"/>
    <x v="0"/>
    <s v="Electronics"/>
    <s v="Keyboard"/>
    <x v="31"/>
    <n v="8"/>
    <n v="1440"/>
  </r>
  <r>
    <s v="ORD038"/>
    <d v="2026-05-12T00:00:00"/>
    <s v="Anitha"/>
    <x v="1"/>
    <s v="Furniture"/>
    <s v="Office Chair"/>
    <x v="17"/>
    <n v="6"/>
    <n v="4800"/>
  </r>
  <r>
    <s v="ORD039"/>
    <d v="2026-05-15T00:00:00"/>
    <s v="Vimal"/>
    <x v="2"/>
    <s v="Electronics"/>
    <s v="Monitor"/>
    <x v="32"/>
    <n v="2"/>
    <n v="5700"/>
  </r>
  <r>
    <s v="ORD040"/>
    <d v="2026-05-18T00:00:00"/>
    <s v="Kavya"/>
    <x v="3"/>
    <s v="Stationery"/>
    <s v="Pen"/>
    <x v="33"/>
    <n v="35"/>
    <n v="420"/>
  </r>
  <r>
    <s v="ORD041"/>
    <d v="2026-05-22T00:00:00"/>
    <s v="Arun"/>
    <x v="0"/>
    <s v="Electronics"/>
    <s v="Laptop"/>
    <x v="34"/>
    <n v="3"/>
    <n v="12000"/>
  </r>
  <r>
    <s v="ORD042"/>
    <d v="2026-05-25T00:00:00"/>
    <s v="Priya"/>
    <x v="1"/>
    <s v="Furniture"/>
    <s v="Desk"/>
    <x v="35"/>
    <n v="3"/>
    <n v="5400"/>
  </r>
  <r>
    <s v="ORD043"/>
    <d v="2026-05-28T00:00:00"/>
    <s v="Ravi"/>
    <x v="2"/>
    <s v="Electronics"/>
    <s v="Mobile"/>
    <x v="36"/>
    <n v="4"/>
    <n v="6750"/>
  </r>
  <r>
    <s v="ORD044"/>
    <d v="2026-06-02T00:00:00"/>
    <s v="Divya"/>
    <x v="3"/>
    <s v="Stationery"/>
    <s v="Notebook"/>
    <x v="14"/>
    <n v="13"/>
    <n v="640"/>
  </r>
  <r>
    <s v="ORD045"/>
    <d v="2026-06-05T00:00:00"/>
    <s v="Karthik"/>
    <x v="0"/>
    <s v="Electronics"/>
    <s v="Mouse"/>
    <x v="37"/>
    <n v="9"/>
    <n v="720"/>
  </r>
  <r>
    <s v="ORD046"/>
    <d v="2026-06-09T00:00:00"/>
    <s v="Meena"/>
    <x v="1"/>
    <s v="Furniture"/>
    <s v="Bookshelf"/>
    <x v="38"/>
    <n v="3"/>
    <n v="5000"/>
  </r>
  <r>
    <s v="ORD047"/>
    <d v="2026-06-12T00:00:00"/>
    <s v="Suresh"/>
    <x v="2"/>
    <s v="Electronics"/>
    <s v="Keyboard"/>
    <x v="39"/>
    <n v="9"/>
    <n v="1620"/>
  </r>
  <r>
    <s v="ORD048"/>
    <d v="2026-06-15T00:00:00"/>
    <s v="Anitha"/>
    <x v="3"/>
    <s v="Stationery"/>
    <s v="Pen"/>
    <x v="30"/>
    <n v="45"/>
    <n v="560"/>
  </r>
  <r>
    <s v="ORD049"/>
    <d v="2026-06-19T00:00:00"/>
    <s v="Vimal"/>
    <x v="0"/>
    <s v="Electronics"/>
    <s v="Monitor"/>
    <x v="36"/>
    <n v="3"/>
    <n v="6750"/>
  </r>
  <r>
    <s v="ORD050"/>
    <d v="2026-06-22T00:00:00"/>
    <s v="Kavya"/>
    <x v="1"/>
    <s v="Furniture"/>
    <s v="Office Chair"/>
    <x v="8"/>
    <n v="7"/>
    <n v="5600"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  <r>
    <m/>
    <m/>
    <m/>
    <x v="4"/>
    <m/>
    <m/>
    <x v="40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1"/>
    <d v="2026-01-05T00:00:00"/>
    <x v="0"/>
    <x v="0"/>
    <x v="0"/>
    <x v="0"/>
    <n v="55000"/>
    <n v="2"/>
    <n v="7000"/>
  </r>
  <r>
    <s v="ORD002"/>
    <d v="2026-01-07T00:00:00"/>
    <x v="1"/>
    <x v="1"/>
    <x v="1"/>
    <x v="1"/>
    <n v="12000"/>
    <n v="3"/>
    <n v="2400"/>
  </r>
  <r>
    <s v="ORD003"/>
    <d v="2026-01-10T00:00:00"/>
    <x v="2"/>
    <x v="2"/>
    <x v="0"/>
    <x v="2"/>
    <n v="30000"/>
    <n v="3"/>
    <n v="4500"/>
  </r>
  <r>
    <s v="ORD004"/>
    <d v="2026-01-13T00:00:00"/>
    <x v="3"/>
    <x v="3"/>
    <x v="2"/>
    <x v="3"/>
    <n v="2500"/>
    <n v="10"/>
    <n v="500"/>
  </r>
  <r>
    <s v="ORD005"/>
    <d v="2026-01-16T00:00:00"/>
    <x v="4"/>
    <x v="0"/>
    <x v="0"/>
    <x v="4"/>
    <n v="2400"/>
    <n v="6"/>
    <n v="480"/>
  </r>
  <r>
    <s v="ORD006"/>
    <d v="2026-01-20T00:00:00"/>
    <x v="5"/>
    <x v="1"/>
    <x v="1"/>
    <x v="5"/>
    <n v="18000"/>
    <n v="2"/>
    <n v="3600"/>
  </r>
  <r>
    <s v="ORD007"/>
    <d v="2026-01-23T00:00:00"/>
    <x v="6"/>
    <x v="2"/>
    <x v="0"/>
    <x v="6"/>
    <n v="4500"/>
    <n v="5"/>
    <n v="900"/>
  </r>
  <r>
    <s v="ORD008"/>
    <d v="2026-01-27T00:00:00"/>
    <x v="7"/>
    <x v="3"/>
    <x v="2"/>
    <x v="7"/>
    <n v="1200"/>
    <n v="20"/>
    <n v="240"/>
  </r>
  <r>
    <s v="ORD009"/>
    <d v="2026-02-02T00:00:00"/>
    <x v="8"/>
    <x v="0"/>
    <x v="0"/>
    <x v="8"/>
    <n v="28000"/>
    <n v="2"/>
    <n v="4200"/>
  </r>
  <r>
    <s v="ORD010"/>
    <d v="2026-02-05T00:00:00"/>
    <x v="9"/>
    <x v="1"/>
    <x v="1"/>
    <x v="9"/>
    <n v="15000"/>
    <n v="2"/>
    <n v="3000"/>
  </r>
  <r>
    <s v="ORD011"/>
    <d v="2026-02-08T00:00:00"/>
    <x v="0"/>
    <x v="2"/>
    <x v="0"/>
    <x v="0"/>
    <n v="60000"/>
    <n v="2"/>
    <n v="8000"/>
  </r>
  <r>
    <s v="ORD012"/>
    <d v="2026-02-12T00:00:00"/>
    <x v="1"/>
    <x v="3"/>
    <x v="2"/>
    <x v="3"/>
    <n v="3000"/>
    <n v="12"/>
    <n v="600"/>
  </r>
  <r>
    <s v="ORD013"/>
    <d v="2026-02-15T00:00:00"/>
    <x v="2"/>
    <x v="0"/>
    <x v="0"/>
    <x v="2"/>
    <n v="40000"/>
    <n v="4"/>
    <n v="6000"/>
  </r>
  <r>
    <s v="ORD014"/>
    <d v="2026-02-18T00:00:00"/>
    <x v="3"/>
    <x v="1"/>
    <x v="1"/>
    <x v="1"/>
    <n v="16000"/>
    <n v="4"/>
    <n v="3200"/>
  </r>
  <r>
    <s v="ORD015"/>
    <d v="2026-02-21T00:00:00"/>
    <x v="4"/>
    <x v="2"/>
    <x v="0"/>
    <x v="4"/>
    <n v="3200"/>
    <n v="8"/>
    <n v="640"/>
  </r>
  <r>
    <s v="ORD016"/>
    <d v="2026-02-25T00:00:00"/>
    <x v="5"/>
    <x v="3"/>
    <x v="2"/>
    <x v="7"/>
    <n v="1800"/>
    <n v="30"/>
    <n v="360"/>
  </r>
  <r>
    <s v="ORD017"/>
    <d v="2026-03-01T00:00:00"/>
    <x v="6"/>
    <x v="0"/>
    <x v="0"/>
    <x v="6"/>
    <n v="5400"/>
    <n v="6"/>
    <n v="1080"/>
  </r>
  <r>
    <s v="ORD018"/>
    <d v="2026-03-04T00:00:00"/>
    <x v="7"/>
    <x v="1"/>
    <x v="1"/>
    <x v="5"/>
    <n v="24000"/>
    <n v="3"/>
    <n v="4800"/>
  </r>
  <r>
    <s v="ORD019"/>
    <d v="2026-03-08T00:00:00"/>
    <x v="8"/>
    <x v="2"/>
    <x v="0"/>
    <x v="8"/>
    <n v="35000"/>
    <n v="2"/>
    <n v="5250"/>
  </r>
  <r>
    <s v="ORD020"/>
    <d v="2026-03-12T00:00:00"/>
    <x v="9"/>
    <x v="3"/>
    <x v="2"/>
    <x v="3"/>
    <n v="2200"/>
    <n v="9"/>
    <n v="440"/>
  </r>
  <r>
    <s v="ORD021"/>
    <d v="2026-03-15T00:00:00"/>
    <x v="0"/>
    <x v="0"/>
    <x v="0"/>
    <x v="0"/>
    <n v="75000"/>
    <n v="3"/>
    <n v="10000"/>
  </r>
  <r>
    <s v="ORD022"/>
    <d v="2026-03-18T00:00:00"/>
    <x v="1"/>
    <x v="1"/>
    <x v="1"/>
    <x v="9"/>
    <n v="22000"/>
    <n v="3"/>
    <n v="4400"/>
  </r>
  <r>
    <s v="ORD023"/>
    <d v="2026-03-21T00:00:00"/>
    <x v="2"/>
    <x v="2"/>
    <x v="0"/>
    <x v="2"/>
    <n v="50000"/>
    <n v="5"/>
    <n v="7500"/>
  </r>
  <r>
    <s v="ORD024"/>
    <d v="2026-03-25T00:00:00"/>
    <x v="3"/>
    <x v="3"/>
    <x v="2"/>
    <x v="7"/>
    <n v="2500"/>
    <n v="40"/>
    <n v="500"/>
  </r>
  <r>
    <s v="ORD025"/>
    <d v="2026-03-28T00:00:00"/>
    <x v="4"/>
    <x v="0"/>
    <x v="0"/>
    <x v="4"/>
    <n v="4000"/>
    <n v="10"/>
    <n v="800"/>
  </r>
  <r>
    <s v="ORD026"/>
    <d v="2026-04-02T00:00:00"/>
    <x v="5"/>
    <x v="1"/>
    <x v="1"/>
    <x v="1"/>
    <n v="20000"/>
    <n v="5"/>
    <n v="4000"/>
  </r>
  <r>
    <s v="ORD027"/>
    <d v="2026-04-05T00:00:00"/>
    <x v="6"/>
    <x v="2"/>
    <x v="0"/>
    <x v="6"/>
    <n v="6300"/>
    <n v="7"/>
    <n v="1260"/>
  </r>
  <r>
    <s v="ORD028"/>
    <d v="2026-04-09T00:00:00"/>
    <x v="7"/>
    <x v="3"/>
    <x v="2"/>
    <x v="3"/>
    <n v="3500"/>
    <n v="14"/>
    <n v="700"/>
  </r>
  <r>
    <s v="ORD029"/>
    <d v="2026-04-12T00:00:00"/>
    <x v="8"/>
    <x v="0"/>
    <x v="0"/>
    <x v="8"/>
    <n v="42000"/>
    <n v="3"/>
    <n v="6300"/>
  </r>
  <r>
    <s v="ORD030"/>
    <d v="2026-04-15T00:00:00"/>
    <x v="9"/>
    <x v="1"/>
    <x v="1"/>
    <x v="5"/>
    <n v="30000"/>
    <n v="4"/>
    <n v="6000"/>
  </r>
  <r>
    <s v="ORD031"/>
    <d v="2026-04-19T00:00:00"/>
    <x v="0"/>
    <x v="2"/>
    <x v="0"/>
    <x v="0"/>
    <n v="50000"/>
    <n v="2"/>
    <n v="7000"/>
  </r>
  <r>
    <s v="ORD032"/>
    <d v="2026-04-22T00:00:00"/>
    <x v="1"/>
    <x v="3"/>
    <x v="2"/>
    <x v="7"/>
    <n v="1500"/>
    <n v="25"/>
    <n v="300"/>
  </r>
  <r>
    <s v="ORD033"/>
    <d v="2026-04-25T00:00:00"/>
    <x v="2"/>
    <x v="0"/>
    <x v="0"/>
    <x v="2"/>
    <n v="35000"/>
    <n v="3"/>
    <n v="5250"/>
  </r>
  <r>
    <s v="ORD034"/>
    <d v="2026-04-28T00:00:00"/>
    <x v="3"/>
    <x v="1"/>
    <x v="1"/>
    <x v="9"/>
    <n v="19000"/>
    <n v="2"/>
    <n v="3800"/>
  </r>
  <r>
    <s v="ORD035"/>
    <d v="2026-05-02T00:00:00"/>
    <x v="4"/>
    <x v="2"/>
    <x v="0"/>
    <x v="4"/>
    <n v="2800"/>
    <n v="7"/>
    <n v="560"/>
  </r>
  <r>
    <s v="ORD036"/>
    <d v="2026-05-05T00:00:00"/>
    <x v="5"/>
    <x v="3"/>
    <x v="2"/>
    <x v="3"/>
    <n v="2800"/>
    <n v="11"/>
    <n v="560"/>
  </r>
  <r>
    <s v="ORD037"/>
    <d v="2026-05-08T00:00:00"/>
    <x v="6"/>
    <x v="0"/>
    <x v="0"/>
    <x v="6"/>
    <n v="7200"/>
    <n v="8"/>
    <n v="1440"/>
  </r>
  <r>
    <s v="ORD038"/>
    <d v="2026-05-12T00:00:00"/>
    <x v="7"/>
    <x v="1"/>
    <x v="1"/>
    <x v="1"/>
    <n v="24000"/>
    <n v="6"/>
    <n v="4800"/>
  </r>
  <r>
    <s v="ORD039"/>
    <d v="2026-05-15T00:00:00"/>
    <x v="8"/>
    <x v="2"/>
    <x v="0"/>
    <x v="8"/>
    <n v="38000"/>
    <n v="2"/>
    <n v="5700"/>
  </r>
  <r>
    <s v="ORD040"/>
    <d v="2026-05-18T00:00:00"/>
    <x v="9"/>
    <x v="3"/>
    <x v="2"/>
    <x v="7"/>
    <n v="2100"/>
    <n v="35"/>
    <n v="420"/>
  </r>
  <r>
    <s v="ORD041"/>
    <d v="2026-05-22T00:00:00"/>
    <x v="0"/>
    <x v="0"/>
    <x v="0"/>
    <x v="0"/>
    <n v="90000"/>
    <n v="3"/>
    <n v="12000"/>
  </r>
  <r>
    <s v="ORD042"/>
    <d v="2026-05-25T00:00:00"/>
    <x v="1"/>
    <x v="1"/>
    <x v="1"/>
    <x v="5"/>
    <n v="27000"/>
    <n v="3"/>
    <n v="5400"/>
  </r>
  <r>
    <s v="ORD043"/>
    <d v="2026-05-28T00:00:00"/>
    <x v="2"/>
    <x v="2"/>
    <x v="0"/>
    <x v="2"/>
    <n v="45000"/>
    <n v="4"/>
    <n v="6750"/>
  </r>
  <r>
    <s v="ORD044"/>
    <d v="2026-06-02T00:00:00"/>
    <x v="3"/>
    <x v="3"/>
    <x v="2"/>
    <x v="3"/>
    <n v="3200"/>
    <n v="13"/>
    <n v="640"/>
  </r>
  <r>
    <s v="ORD045"/>
    <d v="2026-06-05T00:00:00"/>
    <x v="4"/>
    <x v="0"/>
    <x v="0"/>
    <x v="4"/>
    <n v="3600"/>
    <n v="9"/>
    <n v="720"/>
  </r>
  <r>
    <s v="ORD046"/>
    <d v="2026-06-09T00:00:00"/>
    <x v="5"/>
    <x v="1"/>
    <x v="1"/>
    <x v="9"/>
    <n v="25000"/>
    <n v="3"/>
    <n v="5000"/>
  </r>
  <r>
    <s v="ORD047"/>
    <d v="2026-06-12T00:00:00"/>
    <x v="6"/>
    <x v="2"/>
    <x v="0"/>
    <x v="6"/>
    <n v="8100"/>
    <n v="9"/>
    <n v="1620"/>
  </r>
  <r>
    <s v="ORD048"/>
    <d v="2026-06-15T00:00:00"/>
    <x v="7"/>
    <x v="3"/>
    <x v="2"/>
    <x v="7"/>
    <n v="2800"/>
    <n v="45"/>
    <n v="560"/>
  </r>
  <r>
    <s v="ORD049"/>
    <d v="2026-06-19T00:00:00"/>
    <x v="8"/>
    <x v="0"/>
    <x v="0"/>
    <x v="8"/>
    <n v="45000"/>
    <n v="3"/>
    <n v="6750"/>
  </r>
  <r>
    <s v="ORD050"/>
    <d v="2026-06-22T00:00:00"/>
    <x v="9"/>
    <x v="1"/>
    <x v="1"/>
    <x v="1"/>
    <n v="28000"/>
    <n v="7"/>
    <n v="5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6358A-60E8-4842-80FF-7496ACD9426B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7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CC787-636D-4E70-A6CB-27284FA60830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DD1F8-2208-4924-8AAC-8B32032E7B14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7">
        <item m="1" x="5"/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1F3A1-6BBC-4EF3-ADFA-5A8BA9FAE70C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9"/>
        <item x="5"/>
        <item x="6"/>
        <item x="0"/>
        <item x="2"/>
        <item x="8"/>
        <item x="4"/>
        <item x="3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41">
        <item x="7"/>
        <item x="28"/>
        <item x="15"/>
        <item x="33"/>
        <item x="19"/>
        <item x="4"/>
        <item x="3"/>
        <item x="30"/>
        <item x="11"/>
        <item x="14"/>
        <item x="26"/>
        <item x="37"/>
        <item x="23"/>
        <item x="6"/>
        <item x="16"/>
        <item x="25"/>
        <item x="31"/>
        <item x="39"/>
        <item x="1"/>
        <item x="9"/>
        <item x="13"/>
        <item x="5"/>
        <item x="29"/>
        <item x="24"/>
        <item x="21"/>
        <item x="17"/>
        <item x="38"/>
        <item x="35"/>
        <item x="8"/>
        <item x="2"/>
        <item x="18"/>
        <item x="32"/>
        <item x="12"/>
        <item x="27"/>
        <item x="36"/>
        <item x="22"/>
        <item x="0"/>
        <item x="10"/>
        <item x="20"/>
        <item x="34"/>
        <item t="default"/>
      </items>
    </pivotField>
    <pivotField compact="0" outline="0" showAll="0"/>
    <pivotField compact="0" outline="0" showAll="0"/>
  </pivotFields>
  <rowFields count="1">
    <field x="5"/>
  </rowFields>
  <rowItems count="11">
    <i>
      <x v="3"/>
    </i>
    <i>
      <x v="4"/>
    </i>
    <i>
      <x v="5"/>
    </i>
    <i>
      <x v="8"/>
    </i>
    <i>
      <x v="1"/>
    </i>
    <i>
      <x/>
    </i>
    <i>
      <x v="2"/>
    </i>
    <i>
      <x v="7"/>
    </i>
    <i>
      <x v="6"/>
    </i>
    <i>
      <x v="9"/>
    </i>
    <i t="grand">
      <x/>
    </i>
  </rowItems>
  <colItems count="1">
    <i/>
  </colItems>
  <dataFields count="1">
    <dataField name="Sum of Sales" fld="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6CEBA-87CE-49D7-A36F-BA92FC773C4F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7" firstHeaderRow="0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465F5-51D7-41A0-89AA-F1C9570F39E2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9">
    <pivotField compact="0" outline="0" showAll="0"/>
    <pivotField compact="0" numFmtId="14" outline="0" showAll="0"/>
    <pivotField compact="0" outline="0" showAll="0">
      <items count="11">
        <item x="7"/>
        <item x="0"/>
        <item x="3"/>
        <item x="4"/>
        <item x="9"/>
        <item x="5"/>
        <item x="1"/>
        <item x="2"/>
        <item x="6"/>
        <item x="8"/>
        <item t="default"/>
      </items>
    </pivotField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1">
        <item x="9"/>
        <item x="5"/>
        <item x="6"/>
        <item x="0"/>
        <item x="2"/>
        <item x="8"/>
        <item x="4"/>
        <item x="3"/>
        <item x="1"/>
        <item x="7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formats count="3">
    <format dxfId="8">
      <pivotArea outline="0" collapsedLevelsAreSubtotals="1" fieldPosition="0"/>
    </format>
    <format dxfId="9">
      <pivotArea dataOnly="0" labelOnly="1" outline="0" axis="axisValues" fieldPosition="0"/>
    </format>
    <format dxfId="10">
      <pivotArea outline="0" fieldPosition="0">
        <references count="1">
          <reference field="3" count="1" selected="0">
            <x v="0"/>
          </reference>
        </references>
      </pivotArea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BBBB0-EDF6-46E8-B294-B9631199403D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J3:K7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8CA4E-1E05-4B78-B3CA-73D8EF377712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14" firstHeaderRow="1" firstDataRow="1" firstDataCol="1"/>
  <pivotFields count="9">
    <pivotField compact="0" outline="0" showAll="0"/>
    <pivotField compact="0" numFmtId="14" outline="0" showAll="0"/>
    <pivotField axis="axisRow" compact="0" outline="0" showAll="0">
      <items count="11">
        <item x="7"/>
        <item x="0"/>
        <item x="3"/>
        <item x="4"/>
        <item x="9"/>
        <item x="5"/>
        <item x="1"/>
        <item x="2"/>
        <item x="6"/>
        <item x="8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CE279-1976-4671-8A76-6D8077DAE0EF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14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11">
        <item x="9"/>
        <item x="5"/>
        <item x="6"/>
        <item x="0"/>
        <item x="2"/>
        <item x="8"/>
        <item x="4"/>
        <item x="3"/>
        <item x="1"/>
        <item x="7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6" baseField="0" baseItem="0"/>
  </dataFields>
  <formats count="1">
    <format dxfId="7">
      <pivotArea outline="0" fieldPosition="0">
        <references count="1">
          <reference field="5" count="1" selected="0">
            <x v="0"/>
          </reference>
        </references>
      </pivotArea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1185A664-1134-4427-965F-7FD1609D9CA1}" sourceName="Category">
  <pivotTables>
    <pivotTable tabId="5" name="PivotTable2"/>
  </pivotTables>
  <data>
    <tabular pivotCacheId="85366366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F354843D-2307-4C16-8CD3-DE9096491EFF}" sourceName="State">
  <pivotTables>
    <pivotTable tabId="8" name="PivotTable6"/>
  </pivotTables>
  <data>
    <tabular pivotCacheId="1326634860">
      <items count="6">
        <i x="2" s="1"/>
        <i x="1" s="1"/>
        <i x="0" s="1"/>
        <i x="3" s="1"/>
        <i x="5" s="1" nd="1"/>
        <i x="4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BD6FAAC3-A6A4-4F4B-A841-1B0634177E06}" sourceName="Category">
  <pivotTables>
    <pivotTable tabId="6" name="PivotTable3"/>
  </pivotTables>
  <data>
    <tabular pivotCacheId="853663661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29137E76-1F41-4451-96C5-92ED72886A48}" sourceName="Product">
  <pivotTables>
    <pivotTable tabId="9" name="PivotTable7"/>
  </pivotTables>
  <data>
    <tabular pivotCacheId="853663661">
      <items count="10">
        <i x="9" s="1"/>
        <i x="5" s="1"/>
        <i x="6" s="1"/>
        <i x="0" s="1"/>
        <i x="2" s="1"/>
        <i x="8" s="1"/>
        <i x="4" s="1"/>
        <i x="3" s="1"/>
        <i x="1" s="1"/>
        <i x="7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2" xr10:uid="{C13F1802-5FCB-4CCA-A65D-92CD1F0E7D8B}" sourceName="Category">
  <pivotTables>
    <pivotTable tabId="10" name="PivotTable8"/>
  </pivotTables>
  <data>
    <tabular pivotCacheId="853663661">
      <items count="3">
        <i x="0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Name" xr10:uid="{F1695C2E-964A-4541-9039-498C22F6C117}" sourceName="Customer_Name">
  <pivotTables>
    <pivotTable tabId="15" name="PivotTable1"/>
  </pivotTables>
  <data>
    <tabular pivotCacheId="1544769898">
      <items count="10">
        <i x="7" s="1"/>
        <i x="0" s="1"/>
        <i x="3" s="1"/>
        <i x="4" s="1"/>
        <i x="9" s="1"/>
        <i x="5" s="1"/>
        <i x="1" s="1"/>
        <i x="2" s="1"/>
        <i x="6" s="1"/>
        <i x="8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1" xr10:uid="{DF8D687F-D84F-4EDA-89CE-362171611132}" sourceName="State">
  <pivotTables>
    <pivotTable tabId="15" name="PivotTable1"/>
  </pivotTables>
  <data>
    <tabular pivotCacheId="1544769898">
      <items count="4">
        <i x="2" s="1"/>
        <i x="1" s="1"/>
        <i x="0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1" xr10:uid="{EBA68459-4415-4E44-9030-BF37376F9650}" sourceName="Product">
  <pivotTables>
    <pivotTable tabId="15" name="PivotTable1"/>
  </pivotTables>
  <data>
    <tabular pivotCacheId="1544769898">
      <items count="10">
        <i x="9" s="1"/>
        <i x="5" s="1"/>
        <i x="6" s="1"/>
        <i x="0" s="1"/>
        <i x="2" s="1"/>
        <i x="8" s="1"/>
        <i x="4" s="1"/>
        <i x="3" s="1"/>
        <i x="1" s="1"/>
        <i x="7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3" xr10:uid="{2FF39115-87ED-4855-BE4B-AB9DDFDEE04A}" sourceName="Category">
  <pivotTables>
    <pivotTable tabId="15" name="PivotTable4"/>
  </pivotTables>
  <data>
    <tabular pivotCacheId="154476989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6D9B33F7-3812-4D1D-9D9A-DF5485AAFDB5}" cache="Slicer_Category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1F25B118-0A17-4067-A966-AD668F8A46E4}" cache="Slicer_Category1" caption="Category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E0262990-F5E9-4543-B246-4C3B72B4CFB2}" cache="Slicer_State" caption="State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B7069BE7-6837-4420-AB8A-23AB7E14EA7C}" cache="Slicer_Product" caption="Product" startItem="1" rowHeight="2286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2" xr10:uid="{1977643B-DDA5-4AED-80B0-28BB4A797983}" cache="Slicer_Category2" caption="Category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Name" xr10:uid="{50E77F50-3977-49A9-9AEE-D7D95721C1C6}" cache="Slicer_Customer_Name" caption="Customer_Name" columnCount="3" showCaption="0" rowHeight="228600"/>
  <slicer name="State 1" xr10:uid="{9A7DA981-538B-4EF0-9D34-497E1492533B}" cache="Slicer_State1" caption="State" columnCount="2" showCaption="0" rowHeight="228600"/>
  <slicer name="Product 1" xr10:uid="{9D00B8C8-F70E-4EFC-A646-8DE19CD5A6ED}" cache="Slicer_Product1" caption="Product" startItem="5" columnCount="5" showCaption="0" rowHeight="180975"/>
  <slicer name="Category 3" xr10:uid="{B148147A-875D-466E-9460-9343465D9702}" cache="Slicer_Category3" caption="Category" columnCount="2" showCaption="0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1FFF9-69A4-4AB9-8378-6208B2838877}" name="Table1" displayName="Table1" ref="A1:I51" totalsRowShown="0" headerRowDxfId="2">
  <autoFilter ref="A1:I51" xr:uid="{F581FFF9-69A4-4AB9-8378-6208B2838877}"/>
  <tableColumns count="9">
    <tableColumn id="1" xr3:uid="{8729D1FF-6A2C-4154-A658-C3B44CFDD16D}" name="Order_ID"/>
    <tableColumn id="2" xr3:uid="{6C3D0D5C-67FC-4C85-B2E3-BA8D7FCDD1AE}" name="Order_Date" dataDxfId="1"/>
    <tableColumn id="3" xr3:uid="{B4ADC213-42EE-405E-8696-33084C0E63F2}" name="Customer_Name"/>
    <tableColumn id="4" xr3:uid="{A02BFAAC-BB89-4C34-9D41-708E4A63486D}" name="State"/>
    <tableColumn id="5" xr3:uid="{0AA9B2E8-60DA-4C73-90E2-CE78C17533CA}" name="Category"/>
    <tableColumn id="6" xr3:uid="{E94528CB-407D-4A5B-98DA-54BF8FB2D930}" name="Product"/>
    <tableColumn id="7" xr3:uid="{ECE3F115-12A3-4D6A-8E68-3DAAEB3829A0}" name="Sales"/>
    <tableColumn id="8" xr3:uid="{16CD4513-5F2F-4A64-BC79-E083343B1573}" name="Quantity"/>
    <tableColumn id="9" xr3:uid="{F6928D01-4EF6-4635-A121-DB6629F3AEDC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50FAAC-E55F-4909-BC46-6FF2CA281EE4}" name="Table2" displayName="Table2" ref="K1:K14" totalsRowShown="0" headerRowDxfId="0">
  <autoFilter ref="K1:K14" xr:uid="{A850FAAC-E55F-4909-BC46-6FF2CA281EE4}"/>
  <tableColumns count="1">
    <tableColumn id="1" xr3:uid="{5261940B-8D58-4D20-BFB1-F55D3C9900C2}" name="Total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microsoft.com/office/2007/relationships/slicer" Target="../slicers/slicer6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G2" sqref="G2"/>
    </sheetView>
  </sheetViews>
  <sheetFormatPr defaultRowHeight="15"/>
  <cols>
    <col min="1" max="1" width="11.5703125" bestFit="1" customWidth="1"/>
    <col min="2" max="2" width="13.855468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1.28515625" bestFit="1" customWidth="1"/>
    <col min="7" max="7" width="8" bestFit="1" customWidth="1"/>
    <col min="8" max="8" width="11.28515625" bestFit="1" customWidth="1"/>
    <col min="9" max="9" width="8.42578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1">
        <v>46027</v>
      </c>
      <c r="C2" t="s">
        <v>10</v>
      </c>
      <c r="D2" t="s">
        <v>11</v>
      </c>
      <c r="E2" t="s">
        <v>12</v>
      </c>
      <c r="F2" t="s">
        <v>13</v>
      </c>
      <c r="G2">
        <v>55000</v>
      </c>
      <c r="H2">
        <v>2</v>
      </c>
      <c r="I2">
        <v>7000</v>
      </c>
    </row>
    <row r="3" spans="1:9">
      <c r="A3" t="s">
        <v>14</v>
      </c>
      <c r="B3" s="1">
        <v>46029</v>
      </c>
      <c r="C3" t="s">
        <v>15</v>
      </c>
      <c r="D3" t="s">
        <v>16</v>
      </c>
      <c r="E3" t="s">
        <v>17</v>
      </c>
      <c r="F3" t="s">
        <v>18</v>
      </c>
      <c r="G3">
        <v>12000</v>
      </c>
      <c r="H3">
        <v>3</v>
      </c>
      <c r="I3">
        <v>2400</v>
      </c>
    </row>
    <row r="4" spans="1:9">
      <c r="A4" t="s">
        <v>19</v>
      </c>
      <c r="B4" s="1">
        <v>46032</v>
      </c>
      <c r="C4" t="s">
        <v>20</v>
      </c>
      <c r="D4" t="s">
        <v>21</v>
      </c>
      <c r="E4" t="s">
        <v>12</v>
      </c>
      <c r="F4" t="s">
        <v>22</v>
      </c>
      <c r="G4">
        <v>30000</v>
      </c>
      <c r="H4">
        <v>3</v>
      </c>
      <c r="I4">
        <v>4500</v>
      </c>
    </row>
    <row r="5" spans="1:9">
      <c r="A5" t="s">
        <v>23</v>
      </c>
      <c r="B5" s="1">
        <v>46035</v>
      </c>
      <c r="C5" t="s">
        <v>24</v>
      </c>
      <c r="D5" t="s">
        <v>25</v>
      </c>
      <c r="E5" t="s">
        <v>26</v>
      </c>
      <c r="F5" t="s">
        <v>27</v>
      </c>
      <c r="G5">
        <v>2500</v>
      </c>
      <c r="H5">
        <v>10</v>
      </c>
      <c r="I5">
        <v>500</v>
      </c>
    </row>
    <row r="6" spans="1:9">
      <c r="A6" t="s">
        <v>28</v>
      </c>
      <c r="B6" s="1">
        <v>46038</v>
      </c>
      <c r="C6" t="s">
        <v>29</v>
      </c>
      <c r="D6" t="s">
        <v>11</v>
      </c>
      <c r="E6" t="s">
        <v>12</v>
      </c>
      <c r="F6" t="s">
        <v>30</v>
      </c>
      <c r="G6">
        <v>2400</v>
      </c>
      <c r="H6">
        <v>6</v>
      </c>
      <c r="I6">
        <v>480</v>
      </c>
    </row>
    <row r="7" spans="1:9">
      <c r="A7" t="s">
        <v>31</v>
      </c>
      <c r="B7" s="1">
        <v>46042</v>
      </c>
      <c r="C7" t="s">
        <v>32</v>
      </c>
      <c r="D7" t="s">
        <v>16</v>
      </c>
      <c r="E7" t="s">
        <v>17</v>
      </c>
      <c r="F7" t="s">
        <v>33</v>
      </c>
      <c r="G7">
        <v>18000</v>
      </c>
      <c r="H7">
        <v>2</v>
      </c>
      <c r="I7">
        <v>3600</v>
      </c>
    </row>
    <row r="8" spans="1:9">
      <c r="A8" t="s">
        <v>34</v>
      </c>
      <c r="B8" s="1">
        <v>46045</v>
      </c>
      <c r="C8" t="s">
        <v>35</v>
      </c>
      <c r="D8" t="s">
        <v>21</v>
      </c>
      <c r="E8" t="s">
        <v>12</v>
      </c>
      <c r="F8" t="s">
        <v>36</v>
      </c>
      <c r="G8">
        <v>4500</v>
      </c>
      <c r="H8">
        <v>5</v>
      </c>
      <c r="I8">
        <v>900</v>
      </c>
    </row>
    <row r="9" spans="1:9">
      <c r="A9" t="s">
        <v>37</v>
      </c>
      <c r="B9" s="1">
        <v>46049</v>
      </c>
      <c r="C9" t="s">
        <v>38</v>
      </c>
      <c r="D9" t="s">
        <v>25</v>
      </c>
      <c r="E9" t="s">
        <v>26</v>
      </c>
      <c r="F9" t="s">
        <v>39</v>
      </c>
      <c r="G9">
        <v>1200</v>
      </c>
      <c r="H9">
        <v>20</v>
      </c>
      <c r="I9">
        <v>240</v>
      </c>
    </row>
    <row r="10" spans="1:9">
      <c r="A10" t="s">
        <v>40</v>
      </c>
      <c r="B10" s="1">
        <v>46055</v>
      </c>
      <c r="C10" t="s">
        <v>41</v>
      </c>
      <c r="D10" t="s">
        <v>11</v>
      </c>
      <c r="E10" t="s">
        <v>12</v>
      </c>
      <c r="F10" t="s">
        <v>42</v>
      </c>
      <c r="G10">
        <v>28000</v>
      </c>
      <c r="H10">
        <v>2</v>
      </c>
      <c r="I10">
        <v>4200</v>
      </c>
    </row>
    <row r="11" spans="1:9">
      <c r="A11" t="s">
        <v>43</v>
      </c>
      <c r="B11" s="1">
        <v>46058</v>
      </c>
      <c r="C11" t="s">
        <v>44</v>
      </c>
      <c r="D11" t="s">
        <v>16</v>
      </c>
      <c r="E11" t="s">
        <v>17</v>
      </c>
      <c r="F11" t="s">
        <v>45</v>
      </c>
      <c r="G11">
        <v>15000</v>
      </c>
      <c r="H11">
        <v>2</v>
      </c>
      <c r="I11">
        <v>3000</v>
      </c>
    </row>
    <row r="12" spans="1:9">
      <c r="A12" t="s">
        <v>46</v>
      </c>
      <c r="B12" s="1">
        <v>46061</v>
      </c>
      <c r="C12" t="s">
        <v>10</v>
      </c>
      <c r="D12" t="s">
        <v>21</v>
      </c>
      <c r="E12" t="s">
        <v>12</v>
      </c>
      <c r="F12" t="s">
        <v>13</v>
      </c>
      <c r="G12">
        <v>60000</v>
      </c>
      <c r="H12">
        <v>2</v>
      </c>
      <c r="I12">
        <v>8000</v>
      </c>
    </row>
    <row r="13" spans="1:9">
      <c r="A13" t="s">
        <v>47</v>
      </c>
      <c r="B13" s="1">
        <v>46065</v>
      </c>
      <c r="C13" t="s">
        <v>15</v>
      </c>
      <c r="D13" t="s">
        <v>25</v>
      </c>
      <c r="E13" t="s">
        <v>26</v>
      </c>
      <c r="F13" t="s">
        <v>27</v>
      </c>
      <c r="G13">
        <v>3000</v>
      </c>
      <c r="H13">
        <v>12</v>
      </c>
      <c r="I13">
        <v>600</v>
      </c>
    </row>
    <row r="14" spans="1:9">
      <c r="A14" t="s">
        <v>48</v>
      </c>
      <c r="B14" s="1">
        <v>46068</v>
      </c>
      <c r="C14" t="s">
        <v>20</v>
      </c>
      <c r="D14" t="s">
        <v>11</v>
      </c>
      <c r="E14" t="s">
        <v>12</v>
      </c>
      <c r="F14" t="s">
        <v>22</v>
      </c>
      <c r="G14">
        <v>40000</v>
      </c>
      <c r="H14">
        <v>4</v>
      </c>
      <c r="I14">
        <v>6000</v>
      </c>
    </row>
    <row r="15" spans="1:9">
      <c r="A15" t="s">
        <v>49</v>
      </c>
      <c r="B15" s="1">
        <v>46071</v>
      </c>
      <c r="C15" t="s">
        <v>24</v>
      </c>
      <c r="D15" t="s">
        <v>16</v>
      </c>
      <c r="E15" t="s">
        <v>17</v>
      </c>
      <c r="F15" t="s">
        <v>18</v>
      </c>
      <c r="G15">
        <v>16000</v>
      </c>
      <c r="H15">
        <v>4</v>
      </c>
      <c r="I15">
        <v>3200</v>
      </c>
    </row>
    <row r="16" spans="1:9">
      <c r="A16" t="s">
        <v>50</v>
      </c>
      <c r="B16" s="1">
        <v>46074</v>
      </c>
      <c r="C16" t="s">
        <v>29</v>
      </c>
      <c r="D16" t="s">
        <v>21</v>
      </c>
      <c r="E16" t="s">
        <v>12</v>
      </c>
      <c r="F16" t="s">
        <v>30</v>
      </c>
      <c r="G16">
        <v>3200</v>
      </c>
      <c r="H16">
        <v>8</v>
      </c>
      <c r="I16">
        <v>640</v>
      </c>
    </row>
    <row r="17" spans="1:9">
      <c r="A17" t="s">
        <v>51</v>
      </c>
      <c r="B17" s="1">
        <v>46078</v>
      </c>
      <c r="C17" t="s">
        <v>32</v>
      </c>
      <c r="D17" t="s">
        <v>25</v>
      </c>
      <c r="E17" t="s">
        <v>26</v>
      </c>
      <c r="F17" t="s">
        <v>39</v>
      </c>
      <c r="G17">
        <v>1800</v>
      </c>
      <c r="H17">
        <v>30</v>
      </c>
      <c r="I17">
        <v>360</v>
      </c>
    </row>
    <row r="18" spans="1:9">
      <c r="A18" t="s">
        <v>52</v>
      </c>
      <c r="B18" s="1">
        <v>46082</v>
      </c>
      <c r="C18" t="s">
        <v>35</v>
      </c>
      <c r="D18" t="s">
        <v>11</v>
      </c>
      <c r="E18" t="s">
        <v>12</v>
      </c>
      <c r="F18" t="s">
        <v>36</v>
      </c>
      <c r="G18">
        <v>5400</v>
      </c>
      <c r="H18">
        <v>6</v>
      </c>
      <c r="I18">
        <v>1080</v>
      </c>
    </row>
    <row r="19" spans="1:9">
      <c r="A19" t="s">
        <v>53</v>
      </c>
      <c r="B19" s="1">
        <v>46085</v>
      </c>
      <c r="C19" t="s">
        <v>38</v>
      </c>
      <c r="D19" t="s">
        <v>16</v>
      </c>
      <c r="E19" t="s">
        <v>17</v>
      </c>
      <c r="F19" t="s">
        <v>33</v>
      </c>
      <c r="G19">
        <v>24000</v>
      </c>
      <c r="H19">
        <v>3</v>
      </c>
      <c r="I19">
        <v>4800</v>
      </c>
    </row>
    <row r="20" spans="1:9">
      <c r="A20" t="s">
        <v>54</v>
      </c>
      <c r="B20" s="1">
        <v>46089</v>
      </c>
      <c r="C20" t="s">
        <v>41</v>
      </c>
      <c r="D20" t="s">
        <v>21</v>
      </c>
      <c r="E20" t="s">
        <v>12</v>
      </c>
      <c r="F20" t="s">
        <v>42</v>
      </c>
      <c r="G20">
        <v>35000</v>
      </c>
      <c r="H20">
        <v>2</v>
      </c>
      <c r="I20">
        <v>5250</v>
      </c>
    </row>
    <row r="21" spans="1:9">
      <c r="A21" t="s">
        <v>55</v>
      </c>
      <c r="B21" s="1">
        <v>46093</v>
      </c>
      <c r="C21" t="s">
        <v>44</v>
      </c>
      <c r="D21" t="s">
        <v>25</v>
      </c>
      <c r="E21" t="s">
        <v>26</v>
      </c>
      <c r="F21" t="s">
        <v>27</v>
      </c>
      <c r="G21">
        <v>2200</v>
      </c>
      <c r="H21">
        <v>9</v>
      </c>
      <c r="I21">
        <v>440</v>
      </c>
    </row>
    <row r="22" spans="1:9">
      <c r="A22" t="s">
        <v>56</v>
      </c>
      <c r="B22" s="1">
        <v>46096</v>
      </c>
      <c r="C22" t="s">
        <v>10</v>
      </c>
      <c r="D22" t="s">
        <v>11</v>
      </c>
      <c r="E22" t="s">
        <v>12</v>
      </c>
      <c r="F22" t="s">
        <v>13</v>
      </c>
      <c r="G22">
        <v>75000</v>
      </c>
      <c r="H22">
        <v>3</v>
      </c>
      <c r="I22">
        <v>10000</v>
      </c>
    </row>
    <row r="23" spans="1:9">
      <c r="A23" t="s">
        <v>57</v>
      </c>
      <c r="B23" s="1">
        <v>46099</v>
      </c>
      <c r="C23" t="s">
        <v>15</v>
      </c>
      <c r="D23" t="s">
        <v>16</v>
      </c>
      <c r="E23" t="s">
        <v>17</v>
      </c>
      <c r="F23" t="s">
        <v>45</v>
      </c>
      <c r="G23">
        <v>22000</v>
      </c>
      <c r="H23">
        <v>3</v>
      </c>
      <c r="I23">
        <v>4400</v>
      </c>
    </row>
    <row r="24" spans="1:9">
      <c r="A24" t="s">
        <v>58</v>
      </c>
      <c r="B24" s="1">
        <v>46102</v>
      </c>
      <c r="C24" t="s">
        <v>20</v>
      </c>
      <c r="D24" t="s">
        <v>21</v>
      </c>
      <c r="E24" t="s">
        <v>12</v>
      </c>
      <c r="F24" t="s">
        <v>22</v>
      </c>
      <c r="G24">
        <v>50000</v>
      </c>
      <c r="H24">
        <v>5</v>
      </c>
      <c r="I24">
        <v>7500</v>
      </c>
    </row>
    <row r="25" spans="1:9">
      <c r="A25" t="s">
        <v>59</v>
      </c>
      <c r="B25" s="1">
        <v>46106</v>
      </c>
      <c r="C25" t="s">
        <v>24</v>
      </c>
      <c r="D25" t="s">
        <v>25</v>
      </c>
      <c r="E25" t="s">
        <v>26</v>
      </c>
      <c r="F25" t="s">
        <v>39</v>
      </c>
      <c r="G25">
        <v>2500</v>
      </c>
      <c r="H25">
        <v>40</v>
      </c>
      <c r="I25">
        <v>500</v>
      </c>
    </row>
    <row r="26" spans="1:9">
      <c r="A26" t="s">
        <v>60</v>
      </c>
      <c r="B26" s="1">
        <v>46109</v>
      </c>
      <c r="C26" t="s">
        <v>29</v>
      </c>
      <c r="D26" t="s">
        <v>11</v>
      </c>
      <c r="E26" t="s">
        <v>12</v>
      </c>
      <c r="F26" t="s">
        <v>30</v>
      </c>
      <c r="G26">
        <v>4000</v>
      </c>
      <c r="H26">
        <v>10</v>
      </c>
      <c r="I26">
        <v>800</v>
      </c>
    </row>
    <row r="27" spans="1:9">
      <c r="A27" t="s">
        <v>61</v>
      </c>
      <c r="B27" s="1">
        <v>46114</v>
      </c>
      <c r="C27" t="s">
        <v>32</v>
      </c>
      <c r="D27" t="s">
        <v>16</v>
      </c>
      <c r="E27" t="s">
        <v>17</v>
      </c>
      <c r="F27" t="s">
        <v>18</v>
      </c>
      <c r="G27">
        <v>20000</v>
      </c>
      <c r="H27">
        <v>5</v>
      </c>
      <c r="I27">
        <v>4000</v>
      </c>
    </row>
    <row r="28" spans="1:9">
      <c r="A28" t="s">
        <v>62</v>
      </c>
      <c r="B28" s="1">
        <v>46117</v>
      </c>
      <c r="C28" t="s">
        <v>35</v>
      </c>
      <c r="D28" t="s">
        <v>21</v>
      </c>
      <c r="E28" t="s">
        <v>12</v>
      </c>
      <c r="F28" t="s">
        <v>36</v>
      </c>
      <c r="G28">
        <v>6300</v>
      </c>
      <c r="H28">
        <v>7</v>
      </c>
      <c r="I28">
        <v>1260</v>
      </c>
    </row>
    <row r="29" spans="1:9">
      <c r="A29" t="s">
        <v>63</v>
      </c>
      <c r="B29" s="1">
        <v>46121</v>
      </c>
      <c r="C29" t="s">
        <v>38</v>
      </c>
      <c r="D29" t="s">
        <v>25</v>
      </c>
      <c r="E29" t="s">
        <v>26</v>
      </c>
      <c r="F29" t="s">
        <v>27</v>
      </c>
      <c r="G29">
        <v>3500</v>
      </c>
      <c r="H29">
        <v>14</v>
      </c>
      <c r="I29">
        <v>700</v>
      </c>
    </row>
    <row r="30" spans="1:9">
      <c r="A30" t="s">
        <v>64</v>
      </c>
      <c r="B30" s="1">
        <v>46124</v>
      </c>
      <c r="C30" t="s">
        <v>41</v>
      </c>
      <c r="D30" t="s">
        <v>11</v>
      </c>
      <c r="E30" t="s">
        <v>12</v>
      </c>
      <c r="F30" t="s">
        <v>42</v>
      </c>
      <c r="G30">
        <v>42000</v>
      </c>
      <c r="H30">
        <v>3</v>
      </c>
      <c r="I30">
        <v>6300</v>
      </c>
    </row>
    <row r="31" spans="1:9">
      <c r="A31" t="s">
        <v>65</v>
      </c>
      <c r="B31" s="1">
        <v>46127</v>
      </c>
      <c r="C31" t="s">
        <v>44</v>
      </c>
      <c r="D31" t="s">
        <v>16</v>
      </c>
      <c r="E31" t="s">
        <v>17</v>
      </c>
      <c r="F31" t="s">
        <v>33</v>
      </c>
      <c r="G31">
        <v>30000</v>
      </c>
      <c r="H31">
        <v>4</v>
      </c>
      <c r="I31">
        <v>6000</v>
      </c>
    </row>
    <row r="32" spans="1:9">
      <c r="A32" t="s">
        <v>66</v>
      </c>
      <c r="B32" s="1">
        <v>46131</v>
      </c>
      <c r="C32" t="s">
        <v>10</v>
      </c>
      <c r="D32" t="s">
        <v>21</v>
      </c>
      <c r="E32" t="s">
        <v>12</v>
      </c>
      <c r="F32" t="s">
        <v>13</v>
      </c>
      <c r="G32">
        <v>50000</v>
      </c>
      <c r="H32">
        <v>2</v>
      </c>
      <c r="I32">
        <v>7000</v>
      </c>
    </row>
    <row r="33" spans="1:9">
      <c r="A33" t="s">
        <v>67</v>
      </c>
      <c r="B33" s="1">
        <v>46134</v>
      </c>
      <c r="C33" t="s">
        <v>15</v>
      </c>
      <c r="D33" t="s">
        <v>25</v>
      </c>
      <c r="E33" t="s">
        <v>26</v>
      </c>
      <c r="F33" t="s">
        <v>39</v>
      </c>
      <c r="G33">
        <v>1500</v>
      </c>
      <c r="H33">
        <v>25</v>
      </c>
      <c r="I33">
        <v>300</v>
      </c>
    </row>
    <row r="34" spans="1:9">
      <c r="A34" t="s">
        <v>68</v>
      </c>
      <c r="B34" s="1">
        <v>46137</v>
      </c>
      <c r="C34" t="s">
        <v>20</v>
      </c>
      <c r="D34" t="s">
        <v>11</v>
      </c>
      <c r="E34" t="s">
        <v>12</v>
      </c>
      <c r="F34" t="s">
        <v>22</v>
      </c>
      <c r="G34">
        <v>35000</v>
      </c>
      <c r="H34">
        <v>3</v>
      </c>
      <c r="I34">
        <v>5250</v>
      </c>
    </row>
    <row r="35" spans="1:9">
      <c r="A35" t="s">
        <v>69</v>
      </c>
      <c r="B35" s="1">
        <v>46140</v>
      </c>
      <c r="C35" t="s">
        <v>24</v>
      </c>
      <c r="D35" t="s">
        <v>16</v>
      </c>
      <c r="E35" t="s">
        <v>17</v>
      </c>
      <c r="F35" t="s">
        <v>45</v>
      </c>
      <c r="G35">
        <v>19000</v>
      </c>
      <c r="H35">
        <v>2</v>
      </c>
      <c r="I35">
        <v>3800</v>
      </c>
    </row>
    <row r="36" spans="1:9">
      <c r="A36" t="s">
        <v>70</v>
      </c>
      <c r="B36" s="1">
        <v>46144</v>
      </c>
      <c r="C36" t="s">
        <v>29</v>
      </c>
      <c r="D36" t="s">
        <v>21</v>
      </c>
      <c r="E36" t="s">
        <v>12</v>
      </c>
      <c r="F36" t="s">
        <v>30</v>
      </c>
      <c r="G36">
        <v>2800</v>
      </c>
      <c r="H36">
        <v>7</v>
      </c>
      <c r="I36">
        <v>560</v>
      </c>
    </row>
    <row r="37" spans="1:9">
      <c r="A37" t="s">
        <v>71</v>
      </c>
      <c r="B37" s="1">
        <v>46147</v>
      </c>
      <c r="C37" t="s">
        <v>32</v>
      </c>
      <c r="D37" t="s">
        <v>25</v>
      </c>
      <c r="E37" t="s">
        <v>26</v>
      </c>
      <c r="F37" t="s">
        <v>27</v>
      </c>
      <c r="G37">
        <v>2800</v>
      </c>
      <c r="H37">
        <v>11</v>
      </c>
      <c r="I37">
        <v>560</v>
      </c>
    </row>
    <row r="38" spans="1:9">
      <c r="A38" t="s">
        <v>72</v>
      </c>
      <c r="B38" s="1">
        <v>46150</v>
      </c>
      <c r="C38" t="s">
        <v>35</v>
      </c>
      <c r="D38" t="s">
        <v>11</v>
      </c>
      <c r="E38" t="s">
        <v>12</v>
      </c>
      <c r="F38" t="s">
        <v>36</v>
      </c>
      <c r="G38">
        <v>7200</v>
      </c>
      <c r="H38">
        <v>8</v>
      </c>
      <c r="I38">
        <v>1440</v>
      </c>
    </row>
    <row r="39" spans="1:9">
      <c r="A39" t="s">
        <v>73</v>
      </c>
      <c r="B39" s="1">
        <v>46154</v>
      </c>
      <c r="C39" t="s">
        <v>38</v>
      </c>
      <c r="D39" t="s">
        <v>16</v>
      </c>
      <c r="E39" t="s">
        <v>17</v>
      </c>
      <c r="F39" t="s">
        <v>18</v>
      </c>
      <c r="G39">
        <v>24000</v>
      </c>
      <c r="H39">
        <v>6</v>
      </c>
      <c r="I39">
        <v>4800</v>
      </c>
    </row>
    <row r="40" spans="1:9">
      <c r="A40" t="s">
        <v>74</v>
      </c>
      <c r="B40" s="1">
        <v>46157</v>
      </c>
      <c r="C40" t="s">
        <v>41</v>
      </c>
      <c r="D40" t="s">
        <v>21</v>
      </c>
      <c r="E40" t="s">
        <v>12</v>
      </c>
      <c r="F40" t="s">
        <v>42</v>
      </c>
      <c r="G40">
        <v>38000</v>
      </c>
      <c r="H40">
        <v>2</v>
      </c>
      <c r="I40">
        <v>5700</v>
      </c>
    </row>
    <row r="41" spans="1:9">
      <c r="A41" t="s">
        <v>75</v>
      </c>
      <c r="B41" s="1">
        <v>46160</v>
      </c>
      <c r="C41" t="s">
        <v>44</v>
      </c>
      <c r="D41" t="s">
        <v>25</v>
      </c>
      <c r="E41" t="s">
        <v>26</v>
      </c>
      <c r="F41" t="s">
        <v>39</v>
      </c>
      <c r="G41">
        <v>2100</v>
      </c>
      <c r="H41">
        <v>35</v>
      </c>
      <c r="I41">
        <v>420</v>
      </c>
    </row>
    <row r="42" spans="1:9">
      <c r="A42" t="s">
        <v>76</v>
      </c>
      <c r="B42" s="1">
        <v>46164</v>
      </c>
      <c r="C42" t="s">
        <v>10</v>
      </c>
      <c r="D42" t="s">
        <v>11</v>
      </c>
      <c r="E42" t="s">
        <v>12</v>
      </c>
      <c r="F42" t="s">
        <v>13</v>
      </c>
      <c r="G42">
        <v>90000</v>
      </c>
      <c r="H42">
        <v>3</v>
      </c>
      <c r="I42">
        <v>12000</v>
      </c>
    </row>
    <row r="43" spans="1:9">
      <c r="A43" t="s">
        <v>77</v>
      </c>
      <c r="B43" s="1">
        <v>46167</v>
      </c>
      <c r="C43" t="s">
        <v>15</v>
      </c>
      <c r="D43" t="s">
        <v>16</v>
      </c>
      <c r="E43" t="s">
        <v>17</v>
      </c>
      <c r="F43" t="s">
        <v>33</v>
      </c>
      <c r="G43">
        <v>27000</v>
      </c>
      <c r="H43">
        <v>3</v>
      </c>
      <c r="I43">
        <v>5400</v>
      </c>
    </row>
    <row r="44" spans="1:9">
      <c r="A44" t="s">
        <v>78</v>
      </c>
      <c r="B44" s="1">
        <v>46170</v>
      </c>
      <c r="C44" t="s">
        <v>20</v>
      </c>
      <c r="D44" t="s">
        <v>21</v>
      </c>
      <c r="E44" t="s">
        <v>12</v>
      </c>
      <c r="F44" t="s">
        <v>22</v>
      </c>
      <c r="G44">
        <v>45000</v>
      </c>
      <c r="H44">
        <v>4</v>
      </c>
      <c r="I44">
        <v>6750</v>
      </c>
    </row>
    <row r="45" spans="1:9">
      <c r="A45" t="s">
        <v>79</v>
      </c>
      <c r="B45" s="1">
        <v>46175</v>
      </c>
      <c r="C45" t="s">
        <v>24</v>
      </c>
      <c r="D45" t="s">
        <v>25</v>
      </c>
      <c r="E45" t="s">
        <v>26</v>
      </c>
      <c r="F45" t="s">
        <v>27</v>
      </c>
      <c r="G45">
        <v>3200</v>
      </c>
      <c r="H45">
        <v>13</v>
      </c>
      <c r="I45">
        <v>640</v>
      </c>
    </row>
    <row r="46" spans="1:9">
      <c r="A46" t="s">
        <v>80</v>
      </c>
      <c r="B46" s="1">
        <v>46178</v>
      </c>
      <c r="C46" t="s">
        <v>29</v>
      </c>
      <c r="D46" t="s">
        <v>11</v>
      </c>
      <c r="E46" t="s">
        <v>12</v>
      </c>
      <c r="F46" t="s">
        <v>30</v>
      </c>
      <c r="G46">
        <v>3600</v>
      </c>
      <c r="H46">
        <v>9</v>
      </c>
      <c r="I46">
        <v>720</v>
      </c>
    </row>
    <row r="47" spans="1:9">
      <c r="A47" t="s">
        <v>81</v>
      </c>
      <c r="B47" s="1">
        <v>46182</v>
      </c>
      <c r="C47" t="s">
        <v>32</v>
      </c>
      <c r="D47" t="s">
        <v>16</v>
      </c>
      <c r="E47" t="s">
        <v>17</v>
      </c>
      <c r="F47" t="s">
        <v>45</v>
      </c>
      <c r="G47">
        <v>25000</v>
      </c>
      <c r="H47">
        <v>3</v>
      </c>
      <c r="I47">
        <v>5000</v>
      </c>
    </row>
    <row r="48" spans="1:9">
      <c r="A48" t="s">
        <v>82</v>
      </c>
      <c r="B48" s="1">
        <v>46185</v>
      </c>
      <c r="C48" t="s">
        <v>35</v>
      </c>
      <c r="D48" t="s">
        <v>21</v>
      </c>
      <c r="E48" t="s">
        <v>12</v>
      </c>
      <c r="F48" t="s">
        <v>36</v>
      </c>
      <c r="G48">
        <v>8100</v>
      </c>
      <c r="H48">
        <v>9</v>
      </c>
      <c r="I48">
        <v>1620</v>
      </c>
    </row>
    <row r="49" spans="1:9">
      <c r="A49" t="s">
        <v>83</v>
      </c>
      <c r="B49" s="1">
        <v>46188</v>
      </c>
      <c r="C49" t="s">
        <v>38</v>
      </c>
      <c r="D49" t="s">
        <v>25</v>
      </c>
      <c r="E49" t="s">
        <v>26</v>
      </c>
      <c r="F49" t="s">
        <v>39</v>
      </c>
      <c r="G49">
        <v>2800</v>
      </c>
      <c r="H49">
        <v>45</v>
      </c>
      <c r="I49">
        <v>560</v>
      </c>
    </row>
    <row r="50" spans="1:9">
      <c r="A50" t="s">
        <v>84</v>
      </c>
      <c r="B50" s="1">
        <v>46192</v>
      </c>
      <c r="C50" t="s">
        <v>41</v>
      </c>
      <c r="D50" t="s">
        <v>11</v>
      </c>
      <c r="E50" t="s">
        <v>12</v>
      </c>
      <c r="F50" t="s">
        <v>42</v>
      </c>
      <c r="G50">
        <v>45000</v>
      </c>
      <c r="H50">
        <v>3</v>
      </c>
      <c r="I50">
        <v>6750</v>
      </c>
    </row>
    <row r="51" spans="1:9">
      <c r="A51" t="s">
        <v>85</v>
      </c>
      <c r="B51" s="1">
        <v>46195</v>
      </c>
      <c r="C51" t="s">
        <v>44</v>
      </c>
      <c r="D51" t="s">
        <v>16</v>
      </c>
      <c r="E51" t="s">
        <v>17</v>
      </c>
      <c r="F51" t="s">
        <v>18</v>
      </c>
      <c r="G51">
        <v>28000</v>
      </c>
      <c r="H51">
        <v>7</v>
      </c>
      <c r="I51">
        <v>5600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1EA0-2CBE-48B6-BC86-C0F82700EA2B}">
  <dimension ref="A1:T101"/>
  <sheetViews>
    <sheetView workbookViewId="0">
      <selection activeCell="P39" sqref="P39"/>
    </sheetView>
  </sheetViews>
  <sheetFormatPr defaultRowHeight="15"/>
  <cols>
    <col min="1" max="1" width="54.28515625" bestFit="1" customWidth="1"/>
    <col min="2" max="2" width="8.7109375" bestFit="1" customWidth="1"/>
    <col min="4" max="4" width="84.140625" bestFit="1" customWidth="1"/>
    <col min="5" max="5" width="12.42578125" bestFit="1" customWidth="1"/>
    <col min="6" max="6" width="12.28515625" bestFit="1" customWidth="1"/>
    <col min="8" max="8" width="6.42578125" bestFit="1" customWidth="1"/>
    <col min="9" max="9" width="9.42578125" bestFit="1" customWidth="1"/>
    <col min="10" max="10" width="13" bestFit="1" customWidth="1"/>
    <col min="12" max="12" width="14.28515625" bestFit="1" customWidth="1"/>
    <col min="14" max="14" width="75.85546875" bestFit="1" customWidth="1"/>
    <col min="15" max="15" width="7.28515625" bestFit="1" customWidth="1"/>
    <col min="16" max="16" width="81.28515625" style="11" bestFit="1" customWidth="1"/>
    <col min="18" max="18" width="71.42578125" bestFit="1" customWidth="1"/>
    <col min="20" max="20" width="92.140625" bestFit="1" customWidth="1"/>
  </cols>
  <sheetData>
    <row r="1" spans="1:20">
      <c r="A1" s="35" t="s">
        <v>86</v>
      </c>
      <c r="B1" s="36"/>
      <c r="D1" s="30" t="s">
        <v>87</v>
      </c>
      <c r="E1" s="31"/>
      <c r="F1" s="31"/>
      <c r="G1" s="31"/>
      <c r="H1" s="31"/>
      <c r="I1" s="31"/>
      <c r="J1" s="31"/>
      <c r="K1" s="31"/>
      <c r="L1" s="31"/>
      <c r="N1" s="5" t="s">
        <v>88</v>
      </c>
      <c r="P1" s="10" t="s">
        <v>89</v>
      </c>
      <c r="R1" s="43" t="s">
        <v>90</v>
      </c>
      <c r="T1" s="51" t="s">
        <v>91</v>
      </c>
    </row>
    <row r="2" spans="1:20">
      <c r="A2" s="36" t="s">
        <v>92</v>
      </c>
      <c r="B2" s="35">
        <f>SUM(Sales_data!G2:G51)</f>
        <v>1074600</v>
      </c>
      <c r="D2" s="32" t="s">
        <v>93</v>
      </c>
      <c r="E2" s="31" t="str" cm="1">
        <f t="array" ref="E2:E51">IF(Sales_data!I2:I51&gt;=5000,"HIGH PROFIT","LOW")</f>
        <v>HIGH PROFIT</v>
      </c>
      <c r="F2" s="31" t="str" cm="1">
        <f t="array" ref="F2:F51">IF(Sales_data!G2:G51&gt;30000,"GOOD SALES","LOW")</f>
        <v>GOOD SALES</v>
      </c>
      <c r="G2" s="31" t="str" cm="1">
        <f t="array" ref="G2:G51">IF(Sales_data!H2:H51&gt;=5,"BULK","NORMAL")</f>
        <v>NORMAL</v>
      </c>
      <c r="H2" s="31" t="str">
        <f>IF(AND(Sales_data!G2&gt;30000,Sales_data!I2&gt;5000),"HIGH","NRML")</f>
        <v>HIGH</v>
      </c>
      <c r="I2" s="31" t="str">
        <f>IF(AND(Sales_data!H2&gt;=5,Sales_data!I2&gt;=1000),"BEST","REGURAL")</f>
        <v>REGURAL</v>
      </c>
      <c r="J2" s="31" t="str">
        <f>IF(OR(Sales_data!D2="TAMILNADU",Sales_data!D2="KERALA"),"IMPORTANT","OTHER STATE")</f>
        <v>OTHER STATE</v>
      </c>
      <c r="K2" s="31" t="str">
        <f>IF(OR(Sales_data!G2&gt;50000,Sales_data!I2&gt;7000),"TOP","NORMAL")</f>
        <v>TOP</v>
      </c>
      <c r="L2" s="31" t="str">
        <f>IF(OR(AND(Sales_data!G2&gt;40000,Sales_data!I2&gt;6000),Sales_data!H2&gt;=10),"HIGH PRIORITY")</f>
        <v>HIGH PRIORITY</v>
      </c>
      <c r="N2" s="6" t="s">
        <v>94</v>
      </c>
      <c r="P2" s="11" t="s">
        <v>95</v>
      </c>
      <c r="R2" s="44"/>
      <c r="T2" s="18"/>
    </row>
    <row r="3" spans="1:20">
      <c r="A3" s="36" t="s">
        <v>96</v>
      </c>
      <c r="B3" s="35">
        <f>SUM(Sales_data!H2:H51)</f>
        <v>429</v>
      </c>
      <c r="D3" s="31" t="s">
        <v>97</v>
      </c>
      <c r="E3" s="31" t="str">
        <v>LOW</v>
      </c>
      <c r="F3" s="31" t="str">
        <v>LOW</v>
      </c>
      <c r="G3" s="31" t="str">
        <v>NORMAL</v>
      </c>
      <c r="H3" s="31" t="str">
        <f>IF(AND(Sales_data!G3&gt;30000,Sales_data!I3&gt;5000),"HIGH","NRML")</f>
        <v>NRML</v>
      </c>
      <c r="I3" s="31" t="str">
        <f>IF(AND(Sales_data!H3&gt;=5,Sales_data!I3&gt;=1000),"BEST","REGURAL")</f>
        <v>REGURAL</v>
      </c>
      <c r="J3" s="31" t="str">
        <f>IF(OR(Sales_data!D3="TAMILNADU",Sales_data!D3="KERALA"),"IMPORTANT","OTHER STATE")</f>
        <v>IMPORTANT</v>
      </c>
      <c r="K3" s="31" t="str">
        <f>IF(OR(Sales_data!G3&gt;50000,Sales_data!I3&gt;7000),"TOP","NORMAL")</f>
        <v>NORMAL</v>
      </c>
      <c r="L3" s="31" t="b">
        <f>IF(OR(AND(Sales_data!G3&gt;40000,Sales_data!I3&gt;6000),Sales_data!H3&gt;=10),"HIGH PRIORITY")</f>
        <v>0</v>
      </c>
      <c r="N3" s="9" t="s">
        <v>13</v>
      </c>
      <c r="P3" s="5" t="b">
        <f>ISBLANK(Sales_data!C2)</f>
        <v>0</v>
      </c>
      <c r="R3" s="45" t="s">
        <v>98</v>
      </c>
      <c r="T3" s="19" t="s">
        <v>99</v>
      </c>
    </row>
    <row r="4" spans="1:20">
      <c r="A4" s="36" t="s">
        <v>100</v>
      </c>
      <c r="B4" s="35">
        <f>SUM(Sales_data!I2:I51)</f>
        <v>173520</v>
      </c>
      <c r="D4" s="31" t="s">
        <v>101</v>
      </c>
      <c r="E4" s="31" t="str">
        <v>LOW</v>
      </c>
      <c r="F4" s="31" t="str">
        <v>LOW</v>
      </c>
      <c r="G4" s="31" t="str">
        <v>NORMAL</v>
      </c>
      <c r="H4" s="31" t="str">
        <f>IF(AND(Sales_data!G4&gt;30000,Sales_data!I4&gt;5000),"HIGH","NRML")</f>
        <v>NRML</v>
      </c>
      <c r="I4" s="31" t="str">
        <f>IF(AND(Sales_data!H4&gt;=5,Sales_data!I4&gt;=1000),"BEST","REGURAL")</f>
        <v>REGURAL</v>
      </c>
      <c r="J4" s="31" t="str">
        <f>IF(OR(Sales_data!D4="TAMILNADU",Sales_data!D4="KERALA"),"IMPORTANT","OTHER STATE")</f>
        <v>OTHER STATE</v>
      </c>
      <c r="K4" s="31" t="str">
        <f>IF(OR(Sales_data!G4&gt;50000,Sales_data!I4&gt;7000),"TOP","NORMAL")</f>
        <v>NORMAL</v>
      </c>
      <c r="L4" s="31" t="b">
        <f>IF(OR(AND(Sales_data!G4&gt;40000,Sales_data!I4&gt;6000),Sales_data!H4&gt;=10),"HIGH PRIORITY")</f>
        <v>0</v>
      </c>
      <c r="N4" s="18" t="str">
        <f>_xlfn.XLOOKUP(N3,Sales_data!F2:F51,Sales_data!E2:E51,"NIL")</f>
        <v>Electronics</v>
      </c>
      <c r="P4" s="13"/>
      <c r="R4" s="48" t="str" cm="1">
        <f t="array" ref="R4:R6">_xlfn.UNIQUE(Sales_data!E2:E51,FALSE)</f>
        <v>Electronics</v>
      </c>
      <c r="T4" s="18" t="s">
        <v>102</v>
      </c>
    </row>
    <row r="5" spans="1:20">
      <c r="A5" s="35" t="s">
        <v>103</v>
      </c>
      <c r="B5" s="35"/>
      <c r="D5" s="33" t="s">
        <v>104</v>
      </c>
      <c r="E5" s="31" t="str">
        <v>LOW</v>
      </c>
      <c r="F5" s="31" t="str">
        <v>LOW</v>
      </c>
      <c r="G5" s="31" t="str">
        <v>BULK</v>
      </c>
      <c r="H5" s="31" t="str">
        <f>IF(AND(Sales_data!G5&gt;30000,Sales_data!I5&gt;5000),"HIGH","NRML")</f>
        <v>NRML</v>
      </c>
      <c r="I5" s="31" t="str">
        <f>IF(AND(Sales_data!H5&gt;=5,Sales_data!I5&gt;=1000),"BEST","REGURAL")</f>
        <v>REGURAL</v>
      </c>
      <c r="J5" s="31" t="str">
        <f>IF(OR(Sales_data!D5="TAMILNADU",Sales_data!D5="KERALA"),"IMPORTANT","OTHER STATE")</f>
        <v>OTHER STATE</v>
      </c>
      <c r="K5" s="31" t="str">
        <f>IF(OR(Sales_data!G5&gt;50000,Sales_data!I5&gt;7000),"TOP","NORMAL")</f>
        <v>NORMAL</v>
      </c>
      <c r="L5" s="31" t="str">
        <f>IF(OR(AND(Sales_data!G5&gt;40000,Sales_data!I5&gt;6000),Sales_data!H5&gt;=10),"HIGH PRIORITY")</f>
        <v>HIGH PRIORITY</v>
      </c>
      <c r="N5" s="9"/>
      <c r="P5" s="11" t="s">
        <v>105</v>
      </c>
      <c r="R5" s="48" t="str">
        <v>Furniture</v>
      </c>
      <c r="T5" s="18" t="s">
        <v>106</v>
      </c>
    </row>
    <row r="6" spans="1:20">
      <c r="A6" s="36" t="s">
        <v>107</v>
      </c>
      <c r="B6" s="35">
        <f>AVERAGE(Sales_data!G2:G51)</f>
        <v>21492</v>
      </c>
      <c r="D6" s="31" t="s">
        <v>108</v>
      </c>
      <c r="E6" s="31" t="str">
        <v>LOW</v>
      </c>
      <c r="F6" s="31" t="str">
        <v>LOW</v>
      </c>
      <c r="G6" s="31" t="str">
        <v>BULK</v>
      </c>
      <c r="H6" s="31" t="str">
        <f>IF(AND(Sales_data!G6&gt;30000,Sales_data!I6&gt;5000),"HIGH","NRML")</f>
        <v>NRML</v>
      </c>
      <c r="I6" s="31" t="str">
        <f>IF(AND(Sales_data!H6&gt;=5,Sales_data!I6&gt;=1000),"BEST","REGURAL")</f>
        <v>REGURAL</v>
      </c>
      <c r="J6" s="31" t="str">
        <f>IF(OR(Sales_data!D6="TAMILNADU",Sales_data!D6="KERALA"),"IMPORTANT","OTHER STATE")</f>
        <v>OTHER STATE</v>
      </c>
      <c r="K6" s="31" t="str">
        <f>IF(OR(Sales_data!G6&gt;50000,Sales_data!I6&gt;7000),"TOP","NORMAL")</f>
        <v>NORMAL</v>
      </c>
      <c r="L6" s="31" t="b">
        <f>IF(OR(AND(Sales_data!G6&gt;40000,Sales_data!I6&gt;6000),Sales_data!H6&gt;=10),"HIGH PRIORITY")</f>
        <v>0</v>
      </c>
      <c r="N6" s="9" t="s">
        <v>109</v>
      </c>
      <c r="P6" s="9" t="str">
        <f>TRIM(Sales_data!D2)</f>
        <v>Tamil Nadu</v>
      </c>
      <c r="R6" s="48" t="str">
        <v>Stationery</v>
      </c>
      <c r="T6" s="18"/>
    </row>
    <row r="7" spans="1:20">
      <c r="A7" s="36" t="s">
        <v>110</v>
      </c>
      <c r="B7" s="35">
        <f>AVERAGE(Sales_data!I2:I51)</f>
        <v>3470.4</v>
      </c>
      <c r="D7" s="31" t="s">
        <v>111</v>
      </c>
      <c r="E7" s="31" t="str">
        <v>LOW</v>
      </c>
      <c r="F7" s="31" t="str">
        <v>LOW</v>
      </c>
      <c r="G7" s="31" t="str">
        <v>NORMAL</v>
      </c>
      <c r="H7" s="31" t="str">
        <f>IF(AND(Sales_data!G7&gt;30000,Sales_data!I7&gt;5000),"HIGH","NRML")</f>
        <v>NRML</v>
      </c>
      <c r="I7" s="31" t="str">
        <f>IF(AND(Sales_data!H7&gt;=5,Sales_data!I7&gt;=1000),"BEST","REGURAL")</f>
        <v>REGURAL</v>
      </c>
      <c r="J7" s="31" t="str">
        <f>IF(OR(Sales_data!D7="TAMILNADU",Sales_data!D7="KERALA"),"IMPORTANT","OTHER STATE")</f>
        <v>IMPORTANT</v>
      </c>
      <c r="K7" s="31" t="str">
        <f>IF(OR(Sales_data!G7&gt;50000,Sales_data!I7&gt;7000),"TOP","NORMAL")</f>
        <v>NORMAL</v>
      </c>
      <c r="L7" s="31" t="b">
        <f>IF(OR(AND(Sales_data!G7&gt;40000,Sales_data!I7&gt;6000),Sales_data!H7&gt;=10),"HIGH PRIORITY")</f>
        <v>0</v>
      </c>
      <c r="N7" s="9" t="s">
        <v>112</v>
      </c>
      <c r="R7" s="44"/>
      <c r="T7" s="18" t="s">
        <v>113</v>
      </c>
    </row>
    <row r="8" spans="1:20">
      <c r="A8" s="36" t="s">
        <v>114</v>
      </c>
      <c r="B8" s="35">
        <f>AVERAGE(Sales_data!H2:H51)</f>
        <v>8.58</v>
      </c>
      <c r="D8" s="31" t="s">
        <v>115</v>
      </c>
      <c r="E8" s="31" t="str">
        <v>LOW</v>
      </c>
      <c r="F8" s="31" t="str">
        <v>LOW</v>
      </c>
      <c r="G8" s="31" t="str">
        <v>BULK</v>
      </c>
      <c r="H8" s="31" t="str">
        <f>IF(AND(Sales_data!G8&gt;30000,Sales_data!I8&gt;5000),"HIGH","NRML")</f>
        <v>NRML</v>
      </c>
      <c r="I8" s="31" t="str">
        <f>IF(AND(Sales_data!H8&gt;=5,Sales_data!I8&gt;=1000),"BEST","REGURAL")</f>
        <v>REGURAL</v>
      </c>
      <c r="J8" s="31" t="str">
        <f>IF(OR(Sales_data!D8="TAMILNADU",Sales_data!D8="KERALA"),"IMPORTANT","OTHER STATE")</f>
        <v>OTHER STATE</v>
      </c>
      <c r="K8" s="31" t="str">
        <f>IF(OR(Sales_data!G8&gt;50000,Sales_data!I8&gt;7000),"TOP","NORMAL")</f>
        <v>NORMAL</v>
      </c>
      <c r="L8" s="31" t="b">
        <f>IF(OR(AND(Sales_data!G8&gt;40000,Sales_data!I8&gt;6000),Sales_data!H8&gt;=10),"HIGH PRIORITY")</f>
        <v>0</v>
      </c>
      <c r="N8" s="9"/>
      <c r="P8" s="11" t="s">
        <v>116</v>
      </c>
      <c r="R8" s="45" t="s">
        <v>117</v>
      </c>
      <c r="T8" s="18" t="s">
        <v>118</v>
      </c>
    </row>
    <row r="9" spans="1:20">
      <c r="A9" s="35" t="s">
        <v>119</v>
      </c>
      <c r="B9" s="35"/>
      <c r="D9" s="31" t="s">
        <v>120</v>
      </c>
      <c r="E9" s="31" t="str">
        <v>LOW</v>
      </c>
      <c r="F9" s="31" t="str">
        <v>LOW</v>
      </c>
      <c r="G9" s="31" t="str">
        <v>BULK</v>
      </c>
      <c r="H9" s="31" t="str">
        <f>IF(AND(Sales_data!G9&gt;30000,Sales_data!I9&gt;5000),"HIGH","NRML")</f>
        <v>NRML</v>
      </c>
      <c r="I9" s="31" t="str">
        <f>IF(AND(Sales_data!H9&gt;=5,Sales_data!I9&gt;=1000),"BEST","REGURAL")</f>
        <v>REGURAL</v>
      </c>
      <c r="J9" s="31" t="str">
        <f>IF(OR(Sales_data!D9="TAMILNADU",Sales_data!D9="KERALA"),"IMPORTANT","OTHER STATE")</f>
        <v>OTHER STATE</v>
      </c>
      <c r="K9" s="31" t="str">
        <f>IF(OR(Sales_data!G9&gt;50000,Sales_data!I9&gt;7000),"TOP","NORMAL")</f>
        <v>NORMAL</v>
      </c>
      <c r="L9" s="31" t="str">
        <f>IF(OR(AND(Sales_data!G9&gt;40000,Sales_data!I9&gt;6000),Sales_data!H9&gt;=10),"HIGH PRIORITY")</f>
        <v>HIGH PRIORITY</v>
      </c>
      <c r="N9" s="18">
        <f>_xlfn.XLOOKUP(N3,Sales_data!F2:F51,Sales_data!G2:G51,"NIL")</f>
        <v>55000</v>
      </c>
      <c r="P9" s="9" t="str">
        <f>TRIM(Sales_data!D15)</f>
        <v>Kerala</v>
      </c>
      <c r="R9" s="48" t="str" cm="1">
        <f t="array" ref="R9:R12">_xlfn.UNIQUE(Sales_data!D2:D51,FALSE)</f>
        <v>Tamil Nadu</v>
      </c>
      <c r="T9" s="18" t="s">
        <v>121</v>
      </c>
    </row>
    <row r="10" spans="1:20">
      <c r="A10" s="36" t="s">
        <v>122</v>
      </c>
      <c r="B10" s="35">
        <f>COUNTA(Sales_data!A2:A51)</f>
        <v>50</v>
      </c>
      <c r="D10" s="34"/>
      <c r="E10" s="31" t="str">
        <v>LOW</v>
      </c>
      <c r="F10" s="31" t="str">
        <v>LOW</v>
      </c>
      <c r="G10" s="31" t="str">
        <v>NORMAL</v>
      </c>
      <c r="H10" s="31" t="str">
        <f>IF(AND(Sales_data!G10&gt;30000,Sales_data!I10&gt;5000),"HIGH","NRML")</f>
        <v>NRML</v>
      </c>
      <c r="I10" s="31" t="str">
        <f>IF(AND(Sales_data!H10&gt;=5,Sales_data!I10&gt;=1000),"BEST","REGURAL")</f>
        <v>REGURAL</v>
      </c>
      <c r="J10" s="31" t="str">
        <f>IF(OR(Sales_data!D10="TAMILNADU",Sales_data!D10="KERALA"),"IMPORTANT","OTHER STATE")</f>
        <v>OTHER STATE</v>
      </c>
      <c r="K10" s="31" t="str">
        <f>IF(OR(Sales_data!G10&gt;50000,Sales_data!I10&gt;7000),"TOP","NORMAL")</f>
        <v>NORMAL</v>
      </c>
      <c r="L10" s="31" t="b">
        <f>IF(OR(AND(Sales_data!G10&gt;40000,Sales_data!I10&gt;6000),Sales_data!H10&gt;=10),"HIGH PRIORITY")</f>
        <v>0</v>
      </c>
      <c r="N10" s="9"/>
      <c r="R10" s="48" t="str">
        <v>Kerala</v>
      </c>
      <c r="T10" s="18" t="s">
        <v>123</v>
      </c>
    </row>
    <row r="11" spans="1:20">
      <c r="A11" s="36" t="s">
        <v>124</v>
      </c>
      <c r="B11" s="35">
        <f>COUNT(Sales_data!G2:G51)</f>
        <v>50</v>
      </c>
      <c r="D11" s="33" t="s">
        <v>125</v>
      </c>
      <c r="E11" s="31" t="str">
        <v>LOW</v>
      </c>
      <c r="F11" s="31" t="str">
        <v>LOW</v>
      </c>
      <c r="G11" s="31" t="str">
        <v>NORMAL</v>
      </c>
      <c r="H11" s="31" t="str">
        <f>IF(AND(Sales_data!G11&gt;30000,Sales_data!I11&gt;5000),"HIGH","NRML")</f>
        <v>NRML</v>
      </c>
      <c r="I11" s="31" t="str">
        <f>IF(AND(Sales_data!H11&gt;=5,Sales_data!I11&gt;=1000),"BEST","REGURAL")</f>
        <v>REGURAL</v>
      </c>
      <c r="J11" s="31" t="str">
        <f>IF(OR(Sales_data!D11="TAMILNADU",Sales_data!D11="KERALA"),"IMPORTANT","OTHER STATE")</f>
        <v>IMPORTANT</v>
      </c>
      <c r="K11" s="31" t="str">
        <f>IF(OR(Sales_data!G11&gt;50000,Sales_data!I11&gt;7000),"TOP","NORMAL")</f>
        <v>NORMAL</v>
      </c>
      <c r="L11" s="31" t="b">
        <f>IF(OR(AND(Sales_data!G11&gt;40000,Sales_data!I11&gt;6000),Sales_data!H11&gt;=10),"HIGH PRIORITY")</f>
        <v>0</v>
      </c>
      <c r="N11" s="9" t="s">
        <v>109</v>
      </c>
      <c r="P11" s="11" t="s">
        <v>126</v>
      </c>
      <c r="R11" s="48" t="str">
        <v>Karnataka</v>
      </c>
      <c r="T11" s="18"/>
    </row>
    <row r="12" spans="1:20">
      <c r="A12" s="35" t="s">
        <v>127</v>
      </c>
      <c r="B12" s="35"/>
      <c r="D12" s="31" t="s">
        <v>128</v>
      </c>
      <c r="E12" s="31" t="str">
        <v>HIGH PROFIT</v>
      </c>
      <c r="F12" s="31" t="str">
        <v>GOOD SALES</v>
      </c>
      <c r="G12" s="31" t="str">
        <v>NORMAL</v>
      </c>
      <c r="H12" s="31" t="str">
        <f>IF(AND(Sales_data!G12&gt;30000,Sales_data!I12&gt;5000),"HIGH","NRML")</f>
        <v>HIGH</v>
      </c>
      <c r="I12" s="31" t="str">
        <f>IF(AND(Sales_data!H12&gt;=5,Sales_data!I12&gt;=1000),"BEST","REGURAL")</f>
        <v>REGURAL</v>
      </c>
      <c r="J12" s="31" t="str">
        <f>IF(OR(Sales_data!D12="TAMILNADU",Sales_data!D12="KERALA"),"IMPORTANT","OTHER STATE")</f>
        <v>OTHER STATE</v>
      </c>
      <c r="K12" s="31" t="str">
        <f>IF(OR(Sales_data!G12&gt;50000,Sales_data!I12&gt;7000),"TOP","NORMAL")</f>
        <v>TOP</v>
      </c>
      <c r="L12" s="31" t="str">
        <f>IF(OR(AND(Sales_data!G12&gt;40000,Sales_data!I12&gt;6000),Sales_data!H12&gt;=10),"HIGH PRIORITY")</f>
        <v>HIGH PRIORITY</v>
      </c>
      <c r="N12" s="20" t="s">
        <v>129</v>
      </c>
      <c r="P12" s="9" t="str">
        <f>LEFT(Sales_data!A10,3)</f>
        <v>ORD</v>
      </c>
      <c r="R12" s="48" t="str">
        <v>Telangana</v>
      </c>
      <c r="T12" s="18" t="s">
        <v>130</v>
      </c>
    </row>
    <row r="13" spans="1:20">
      <c r="A13" s="36" t="s">
        <v>131</v>
      </c>
      <c r="B13" s="35">
        <f>MAX(Sales_data!G2:G51)</f>
        <v>90000</v>
      </c>
      <c r="D13" s="31" t="s">
        <v>132</v>
      </c>
      <c r="E13" s="31" t="str">
        <v>LOW</v>
      </c>
      <c r="F13" s="31" t="str">
        <v>LOW</v>
      </c>
      <c r="G13" s="31" t="str">
        <v>BULK</v>
      </c>
      <c r="H13" s="31" t="str">
        <f>IF(AND(Sales_data!G13&gt;30000,Sales_data!I13&gt;5000),"HIGH","NRML")</f>
        <v>NRML</v>
      </c>
      <c r="I13" s="31" t="str">
        <f>IF(AND(Sales_data!H13&gt;=5,Sales_data!I13&gt;=1000),"BEST","REGURAL")</f>
        <v>REGURAL</v>
      </c>
      <c r="J13" s="31" t="str">
        <f>IF(OR(Sales_data!D13="TAMILNADU",Sales_data!D13="KERALA"),"IMPORTANT","OTHER STATE")</f>
        <v>OTHER STATE</v>
      </c>
      <c r="K13" s="31" t="str">
        <f>IF(OR(Sales_data!G13&gt;50000,Sales_data!I13&gt;7000),"TOP","NORMAL")</f>
        <v>NORMAL</v>
      </c>
      <c r="L13" s="31" t="str">
        <f>IF(OR(AND(Sales_data!G13&gt;40000,Sales_data!I13&gt;6000),Sales_data!H13&gt;=10),"HIGH PRIORITY")</f>
        <v>HIGH PRIORITY</v>
      </c>
      <c r="N13" s="9"/>
      <c r="P13" s="13"/>
      <c r="R13" s="48"/>
      <c r="T13" s="18" t="s">
        <v>133</v>
      </c>
    </row>
    <row r="14" spans="1:20">
      <c r="A14" s="36" t="s">
        <v>134</v>
      </c>
      <c r="B14" s="35">
        <f>MIN(Sales_data!G2:G51)</f>
        <v>1200</v>
      </c>
      <c r="D14" s="31" t="s">
        <v>135</v>
      </c>
      <c r="E14" s="31" t="str">
        <v>HIGH PROFIT</v>
      </c>
      <c r="F14" s="31" t="str">
        <v>GOOD SALES</v>
      </c>
      <c r="G14" s="31" t="str">
        <v>NORMAL</v>
      </c>
      <c r="H14" s="31" t="str">
        <f>IF(AND(Sales_data!G14&gt;30000,Sales_data!I14&gt;5000),"HIGH","NRML")</f>
        <v>HIGH</v>
      </c>
      <c r="I14" s="31" t="str">
        <f>IF(AND(Sales_data!H14&gt;=5,Sales_data!I14&gt;=1000),"BEST","REGURAL")</f>
        <v>REGURAL</v>
      </c>
      <c r="J14" s="31" t="str">
        <f>IF(OR(Sales_data!D14="TAMILNADU",Sales_data!D14="KERALA"),"IMPORTANT","OTHER STATE")</f>
        <v>OTHER STATE</v>
      </c>
      <c r="K14" s="31" t="str">
        <f>IF(OR(Sales_data!G14&gt;50000,Sales_data!I14&gt;7000),"TOP","NORMAL")</f>
        <v>NORMAL</v>
      </c>
      <c r="L14" s="31" t="b">
        <f>IF(OR(AND(Sales_data!G14&gt;40000,Sales_data!I14&gt;6000),Sales_data!H14&gt;=10),"HIGH PRIORITY")</f>
        <v>0</v>
      </c>
      <c r="N14" s="18">
        <f>_xlfn.XLOOKUP(N3,Sales_data!F2:F51,Sales_data!I2:I51,"NIL")</f>
        <v>7000</v>
      </c>
      <c r="P14" s="11" t="s">
        <v>136</v>
      </c>
      <c r="R14" s="44"/>
      <c r="T14" s="18"/>
    </row>
    <row r="15" spans="1:20" ht="18">
      <c r="A15" s="36" t="s">
        <v>137</v>
      </c>
      <c r="B15" s="35">
        <f>MAX(Sales_data!I2:I51)</f>
        <v>12000</v>
      </c>
      <c r="D15" s="31" t="s">
        <v>138</v>
      </c>
      <c r="E15" s="31" t="str">
        <v>LOW</v>
      </c>
      <c r="F15" s="31" t="str">
        <v>LOW</v>
      </c>
      <c r="G15" s="31" t="str">
        <v>NORMAL</v>
      </c>
      <c r="H15" s="31" t="str">
        <f>IF(AND(Sales_data!G15&gt;30000,Sales_data!I15&gt;5000),"HIGH","NRML")</f>
        <v>NRML</v>
      </c>
      <c r="I15" s="31" t="str">
        <f>IF(AND(Sales_data!H15&gt;=5,Sales_data!I15&gt;=1000),"BEST","REGURAL")</f>
        <v>REGURAL</v>
      </c>
      <c r="J15" s="31" t="str">
        <f>IF(OR(Sales_data!D15="TAMILNADU",Sales_data!D15="KERALA"),"IMPORTANT","OTHER STATE")</f>
        <v>IMPORTANT</v>
      </c>
      <c r="K15" s="31" t="str">
        <f>IF(OR(Sales_data!G15&gt;50000,Sales_data!I15&gt;7000),"TOP","NORMAL")</f>
        <v>NORMAL</v>
      </c>
      <c r="L15" s="31" t="b">
        <f>IF(OR(AND(Sales_data!G15&gt;40000,Sales_data!I15&gt;6000),Sales_data!H15&gt;=10),"HIGH PRIORITY")</f>
        <v>0</v>
      </c>
      <c r="N15" s="9"/>
      <c r="P15" s="9" t="str">
        <f>RIGHT(Sales_data!A20,3)</f>
        <v>019</v>
      </c>
      <c r="R15" s="46" t="s">
        <v>139</v>
      </c>
      <c r="T15" s="18" t="s">
        <v>140</v>
      </c>
    </row>
    <row r="16" spans="1:20" ht="18">
      <c r="A16" s="36" t="s">
        <v>141</v>
      </c>
      <c r="B16" s="35">
        <f>MIN(Sales_data!I2:I51)</f>
        <v>240</v>
      </c>
      <c r="D16" s="33"/>
      <c r="E16" s="31" t="str">
        <v>LOW</v>
      </c>
      <c r="F16" s="31" t="str">
        <v>LOW</v>
      </c>
      <c r="G16" s="31" t="str">
        <v>BULK</v>
      </c>
      <c r="H16" s="31" t="str">
        <f>IF(AND(Sales_data!G16&gt;30000,Sales_data!I16&gt;5000),"HIGH","NRML")</f>
        <v>NRML</v>
      </c>
      <c r="I16" s="31" t="str">
        <f>IF(AND(Sales_data!H16&gt;=5,Sales_data!I16&gt;=1000),"BEST","REGURAL")</f>
        <v>REGURAL</v>
      </c>
      <c r="J16" s="31" t="str">
        <f>IF(OR(Sales_data!D16="TAMILNADU",Sales_data!D16="KERALA"),"IMPORTANT","OTHER STATE")</f>
        <v>OTHER STATE</v>
      </c>
      <c r="K16" s="31" t="str">
        <f>IF(OR(Sales_data!G16&gt;50000,Sales_data!I16&gt;7000),"TOP","NORMAL")</f>
        <v>NORMAL</v>
      </c>
      <c r="L16" s="31" t="b">
        <f>IF(OR(AND(Sales_data!G16&gt;40000,Sales_data!I16&gt;6000),Sales_data!H16&gt;=10),"HIGH PRIORITY")</f>
        <v>0</v>
      </c>
      <c r="N16" s="21" t="s">
        <v>142</v>
      </c>
      <c r="P16" s="13"/>
      <c r="R16" s="44" t="s">
        <v>143</v>
      </c>
      <c r="T16" s="18" t="s">
        <v>144</v>
      </c>
    </row>
    <row r="17" spans="1:20">
      <c r="A17" s="35" t="s">
        <v>145</v>
      </c>
      <c r="B17" s="35"/>
      <c r="D17" s="31" t="s">
        <v>146</v>
      </c>
      <c r="E17" s="31" t="str">
        <v>LOW</v>
      </c>
      <c r="F17" s="31" t="str">
        <v>LOW</v>
      </c>
      <c r="G17" s="31" t="str">
        <v>BULK</v>
      </c>
      <c r="H17" s="31" t="str">
        <f>IF(AND(Sales_data!G17&gt;30000,Sales_data!I17&gt;5000),"HIGH","NRML")</f>
        <v>NRML</v>
      </c>
      <c r="I17" s="31" t="str">
        <f>IF(AND(Sales_data!H17&gt;=5,Sales_data!I17&gt;=1000),"BEST","REGURAL")</f>
        <v>REGURAL</v>
      </c>
      <c r="J17" s="31" t="str">
        <f>IF(OR(Sales_data!D17="TAMILNADU",Sales_data!D17="KERALA"),"IMPORTANT","OTHER STATE")</f>
        <v>OTHER STATE</v>
      </c>
      <c r="K17" s="31" t="str">
        <f>IF(OR(Sales_data!G17&gt;50000,Sales_data!I17&gt;7000),"TOP","NORMAL")</f>
        <v>NORMAL</v>
      </c>
      <c r="L17" s="31" t="str">
        <f>IF(OR(AND(Sales_data!G17&gt;40000,Sales_data!I17&gt;6000),Sales_data!H17&gt;=10),"HIGH PRIORITY")</f>
        <v>HIGH PRIORITY</v>
      </c>
      <c r="N17" s="18">
        <f>VLOOKUP(Sales_data!A16,Sales_data!A2:I51,7,FALSE)</f>
        <v>3200</v>
      </c>
      <c r="P17" s="11" t="s">
        <v>147</v>
      </c>
      <c r="R17" s="48" t="str" cm="1">
        <f t="array" ref="R17:R41">_xlfn._xlws.FILTER(Sales_data!F2:F51,Sales_data!E2:E51="Electronics")</f>
        <v>Laptop</v>
      </c>
      <c r="T17" s="18"/>
    </row>
    <row r="18" spans="1:20" ht="18">
      <c r="A18" s="36" t="s">
        <v>148</v>
      </c>
      <c r="B18" s="35">
        <f>B2/B10</f>
        <v>21492</v>
      </c>
      <c r="D18" s="33"/>
      <c r="E18" s="31" t="str">
        <v>LOW</v>
      </c>
      <c r="F18" s="31" t="str">
        <v>LOW</v>
      </c>
      <c r="G18" s="31" t="str">
        <v>BULK</v>
      </c>
      <c r="H18" s="31" t="str">
        <f>IF(AND(Sales_data!G18&gt;30000,Sales_data!I18&gt;5000),"HIGH","NRML")</f>
        <v>NRML</v>
      </c>
      <c r="I18" s="31" t="str">
        <f>IF(AND(Sales_data!H18&gt;=5,Sales_data!I18&gt;=1000),"BEST","REGURAL")</f>
        <v>BEST</v>
      </c>
      <c r="J18" s="31" t="str">
        <f>IF(OR(Sales_data!D18="TAMILNADU",Sales_data!D18="KERALA"),"IMPORTANT","OTHER STATE")</f>
        <v>OTHER STATE</v>
      </c>
      <c r="K18" s="31" t="str">
        <f>IF(OR(Sales_data!G18&gt;50000,Sales_data!I18&gt;7000),"TOP","NORMAL")</f>
        <v>NORMAL</v>
      </c>
      <c r="L18" s="31" t="b">
        <f>IF(OR(AND(Sales_data!G18&gt;40000,Sales_data!I18&gt;6000),Sales_data!H18&gt;=10),"HIGH PRIORITY")</f>
        <v>0</v>
      </c>
      <c r="N18" s="21" t="s">
        <v>149</v>
      </c>
      <c r="P18" s="9" t="str">
        <f>MID(Sales_data!A25,2,3)</f>
        <v>RD0</v>
      </c>
      <c r="R18" s="48" t="str">
        <v>Mobile</v>
      </c>
      <c r="T18" s="18" t="s">
        <v>113</v>
      </c>
    </row>
    <row r="19" spans="1:20">
      <c r="A19" s="36" t="s">
        <v>150</v>
      </c>
      <c r="B19" s="35">
        <f>B13-B14</f>
        <v>88800</v>
      </c>
      <c r="D19" s="33" t="s">
        <v>151</v>
      </c>
      <c r="E19" s="31" t="str">
        <v>LOW</v>
      </c>
      <c r="F19" s="31" t="str">
        <v>LOW</v>
      </c>
      <c r="G19" s="31" t="str">
        <v>NORMAL</v>
      </c>
      <c r="H19" s="31" t="str">
        <f>IF(AND(Sales_data!G19&gt;30000,Sales_data!I19&gt;5000),"HIGH","NRML")</f>
        <v>NRML</v>
      </c>
      <c r="I19" s="31" t="str">
        <f>IF(AND(Sales_data!H19&gt;=5,Sales_data!I19&gt;=1000),"BEST","REGURAL")</f>
        <v>REGURAL</v>
      </c>
      <c r="J19" s="31" t="str">
        <f>IF(OR(Sales_data!D19="TAMILNADU",Sales_data!D19="KERALA"),"IMPORTANT","OTHER STATE")</f>
        <v>IMPORTANT</v>
      </c>
      <c r="K19" s="31" t="str">
        <f>IF(OR(Sales_data!G19&gt;50000,Sales_data!I19&gt;7000),"TOP","NORMAL")</f>
        <v>NORMAL</v>
      </c>
      <c r="L19" s="31" t="b">
        <f>IF(OR(AND(Sales_data!G19&gt;40000,Sales_data!I19&gt;6000),Sales_data!H19&gt;=10),"HIGH PRIORITY")</f>
        <v>0</v>
      </c>
      <c r="N19" s="18" t="str">
        <f>VLOOKUP(Sales_data!A31,Sales_data!A2:I51,3,FALSE)</f>
        <v>Kavya</v>
      </c>
      <c r="R19" s="48" t="str">
        <v>Mouse</v>
      </c>
      <c r="T19" s="18" t="s">
        <v>118</v>
      </c>
    </row>
    <row r="20" spans="1:20">
      <c r="D20" s="31" t="s">
        <v>152</v>
      </c>
      <c r="E20" s="31" t="str">
        <v>HIGH PROFIT</v>
      </c>
      <c r="F20" s="31" t="str">
        <v>GOOD SALES</v>
      </c>
      <c r="G20" s="31" t="str">
        <v>NORMAL</v>
      </c>
      <c r="H20" s="31" t="str">
        <f>IF(AND(Sales_data!G20&gt;30000,Sales_data!I20&gt;5000),"HIGH","NRML")</f>
        <v>HIGH</v>
      </c>
      <c r="I20" s="31" t="str">
        <f>IF(AND(Sales_data!H20&gt;=5,Sales_data!I20&gt;=1000),"BEST","REGURAL")</f>
        <v>REGURAL</v>
      </c>
      <c r="J20" s="31" t="str">
        <f>IF(OR(Sales_data!D20="TAMILNADU",Sales_data!D20="KERALA"),"IMPORTANT","OTHER STATE")</f>
        <v>OTHER STATE</v>
      </c>
      <c r="K20" s="31" t="str">
        <f>IF(OR(Sales_data!G20&gt;50000,Sales_data!I20&gt;7000),"TOP","NORMAL")</f>
        <v>NORMAL</v>
      </c>
      <c r="L20" s="31" t="b">
        <f>IF(OR(AND(Sales_data!G20&gt;40000,Sales_data!I20&gt;6000),Sales_data!H20&gt;=10),"HIGH PRIORITY")</f>
        <v>0</v>
      </c>
      <c r="N20" s="9"/>
      <c r="P20" s="10" t="s">
        <v>153</v>
      </c>
      <c r="R20" s="48" t="str">
        <v>Keyboard</v>
      </c>
      <c r="T20" s="18" t="s">
        <v>154</v>
      </c>
    </row>
    <row r="21" spans="1:20">
      <c r="D21" s="31" t="s">
        <v>155</v>
      </c>
      <c r="E21" s="31" t="str">
        <v>LOW</v>
      </c>
      <c r="F21" s="31" t="str">
        <v>LOW</v>
      </c>
      <c r="G21" s="31" t="str">
        <v>BULK</v>
      </c>
      <c r="H21" s="31" t="str">
        <f>IF(AND(Sales_data!G21&gt;30000,Sales_data!I21&gt;5000),"HIGH","NRML")</f>
        <v>NRML</v>
      </c>
      <c r="I21" s="31" t="str">
        <f>IF(AND(Sales_data!H21&gt;=5,Sales_data!I21&gt;=1000),"BEST","REGURAL")</f>
        <v>REGURAL</v>
      </c>
      <c r="J21" s="31" t="str">
        <f>IF(OR(Sales_data!D21="TAMILNADU",Sales_data!D21="KERALA"),"IMPORTANT","OTHER STATE")</f>
        <v>OTHER STATE</v>
      </c>
      <c r="K21" s="31" t="str">
        <f>IF(OR(Sales_data!G21&gt;50000,Sales_data!I21&gt;7000),"TOP","NORMAL")</f>
        <v>NORMAL</v>
      </c>
      <c r="L21" s="31" t="b">
        <f>IF(OR(AND(Sales_data!G21&gt;40000,Sales_data!I21&gt;6000),Sales_data!H21&gt;=10),"HIGH PRIORITY")</f>
        <v>0</v>
      </c>
      <c r="N21" s="9"/>
      <c r="P21" s="11" t="s">
        <v>156</v>
      </c>
      <c r="R21" s="48" t="str">
        <v>Monitor</v>
      </c>
      <c r="T21" s="18" t="s">
        <v>157</v>
      </c>
    </row>
    <row r="22" spans="1:20" ht="18">
      <c r="D22" s="31" t="s">
        <v>158</v>
      </c>
      <c r="E22" s="31" t="str">
        <v>HIGH PROFIT</v>
      </c>
      <c r="F22" s="31" t="str">
        <v>GOOD SALES</v>
      </c>
      <c r="G22" s="31" t="str">
        <v>NORMAL</v>
      </c>
      <c r="H22" s="31" t="str">
        <f>IF(AND(Sales_data!G22&gt;30000,Sales_data!I22&gt;5000),"HIGH","NRML")</f>
        <v>HIGH</v>
      </c>
      <c r="I22" s="31" t="str">
        <f>IF(AND(Sales_data!H22&gt;=5,Sales_data!I22&gt;=1000),"BEST","REGURAL")</f>
        <v>REGURAL</v>
      </c>
      <c r="J22" s="31" t="str">
        <f>IF(OR(Sales_data!D22="TAMILNADU",Sales_data!D22="KERALA"),"IMPORTANT","OTHER STATE")</f>
        <v>OTHER STATE</v>
      </c>
      <c r="K22" s="31" t="str">
        <f>IF(OR(Sales_data!G22&gt;50000,Sales_data!I22&gt;7000),"TOP","NORMAL")</f>
        <v>TOP</v>
      </c>
      <c r="L22" s="31" t="str">
        <f>IF(OR(AND(Sales_data!G22&gt;40000,Sales_data!I22&gt;6000),Sales_data!H22&gt;=10),"HIGH PRIORITY")</f>
        <v>HIGH PRIORITY</v>
      </c>
      <c r="N22" s="22" t="s">
        <v>159</v>
      </c>
      <c r="P22" s="9" t="str">
        <f>_xlfn.CONCAT(Sales_data!C2," ",Sales_data!D2)</f>
        <v>Arun Tamil Nadu</v>
      </c>
      <c r="R22" s="48" t="str">
        <v>Laptop</v>
      </c>
      <c r="T22" s="18"/>
    </row>
    <row r="23" spans="1:20" ht="18">
      <c r="D23" s="31" t="s">
        <v>160</v>
      </c>
      <c r="E23" s="31" t="str">
        <v>LOW</v>
      </c>
      <c r="F23" s="31" t="str">
        <v>LOW</v>
      </c>
      <c r="G23" s="31" t="str">
        <v>NORMAL</v>
      </c>
      <c r="H23" s="31" t="str">
        <f>IF(AND(Sales_data!G23&gt;30000,Sales_data!I23&gt;5000),"HIGH","NRML")</f>
        <v>NRML</v>
      </c>
      <c r="I23" s="31" t="str">
        <f>IF(AND(Sales_data!H23&gt;=5,Sales_data!I23&gt;=1000),"BEST","REGURAL")</f>
        <v>REGURAL</v>
      </c>
      <c r="J23" s="31" t="str">
        <f>IF(OR(Sales_data!D23="TAMILNADU",Sales_data!D23="KERALA"),"IMPORTANT","OTHER STATE")</f>
        <v>IMPORTANT</v>
      </c>
      <c r="K23" s="31" t="str">
        <f>IF(OR(Sales_data!G23&gt;50000,Sales_data!I23&gt;7000),"TOP","NORMAL")</f>
        <v>NORMAL</v>
      </c>
      <c r="L23" s="31" t="b">
        <f>IF(OR(AND(Sales_data!G23&gt;40000,Sales_data!I23&gt;6000),Sales_data!H23&gt;=10),"HIGH PRIORITY")</f>
        <v>0</v>
      </c>
      <c r="N23" s="22"/>
      <c r="R23" s="48" t="str">
        <v>Mobile</v>
      </c>
      <c r="T23" s="18" t="s">
        <v>161</v>
      </c>
    </row>
    <row r="24" spans="1:20" ht="18">
      <c r="D24" s="33"/>
      <c r="E24" s="31" t="str">
        <v>HIGH PROFIT</v>
      </c>
      <c r="F24" s="31" t="str">
        <v>GOOD SALES</v>
      </c>
      <c r="G24" s="31" t="str">
        <v>BULK</v>
      </c>
      <c r="H24" s="31" t="str">
        <f>IF(AND(Sales_data!G24&gt;30000,Sales_data!I24&gt;5000),"HIGH","NRML")</f>
        <v>HIGH</v>
      </c>
      <c r="I24" s="31" t="str">
        <f>IF(AND(Sales_data!H24&gt;=5,Sales_data!I24&gt;=1000),"BEST","REGURAL")</f>
        <v>BEST</v>
      </c>
      <c r="J24" s="31" t="str">
        <f>IF(OR(Sales_data!D24="TAMILNADU",Sales_data!D24="KERALA"),"IMPORTANT","OTHER STATE")</f>
        <v>OTHER STATE</v>
      </c>
      <c r="K24" s="31" t="str">
        <f>IF(OR(Sales_data!G24&gt;50000,Sales_data!I24&gt;7000),"TOP","NORMAL")</f>
        <v>TOP</v>
      </c>
      <c r="L24" s="31" t="str">
        <f>IF(OR(AND(Sales_data!G24&gt;40000,Sales_data!I24&gt;6000),Sales_data!H24&gt;=10),"HIGH PRIORITY")</f>
        <v>HIGH PRIORITY</v>
      </c>
      <c r="N24" s="25">
        <f>VLOOKUP(Sales_data!A6,Sales_data!A2:I51,8,FALSE)</f>
        <v>6</v>
      </c>
      <c r="P24" s="13" t="s">
        <v>162</v>
      </c>
      <c r="R24" s="48" t="str">
        <v>Mouse</v>
      </c>
      <c r="T24" s="18" t="s">
        <v>163</v>
      </c>
    </row>
    <row r="25" spans="1:20">
      <c r="D25" s="31" t="s">
        <v>164</v>
      </c>
      <c r="E25" s="31" t="str">
        <v>LOW</v>
      </c>
      <c r="F25" s="31" t="str">
        <v>LOW</v>
      </c>
      <c r="G25" s="31" t="str">
        <v>BULK</v>
      </c>
      <c r="H25" s="31" t="str">
        <f>IF(AND(Sales_data!G25&gt;30000,Sales_data!I25&gt;5000),"HIGH","NRML")</f>
        <v>NRML</v>
      </c>
      <c r="I25" s="31" t="str">
        <f>IF(AND(Sales_data!H25&gt;=5,Sales_data!I25&gt;=1000),"BEST","REGURAL")</f>
        <v>REGURAL</v>
      </c>
      <c r="J25" s="31" t="str">
        <f>IF(OR(Sales_data!D25="TAMILNADU",Sales_data!D25="KERALA"),"IMPORTANT","OTHER STATE")</f>
        <v>OTHER STATE</v>
      </c>
      <c r="K25" s="31" t="str">
        <f>IF(OR(Sales_data!G25&gt;50000,Sales_data!I25&gt;7000),"TOP","NORMAL")</f>
        <v>NORMAL</v>
      </c>
      <c r="L25" s="31" t="str">
        <f>IF(OR(AND(Sales_data!G25&gt;40000,Sales_data!I25&gt;6000),Sales_data!H25&gt;=10),"HIGH PRIORITY")</f>
        <v>HIGH PRIORITY</v>
      </c>
      <c r="N25" s="9"/>
      <c r="P25" s="9" t="str">
        <f>_xlfn.CONCAT(Sales_data!E2,"-",Sales_data!F2)</f>
        <v>Electronics-Laptop</v>
      </c>
      <c r="R25" s="48" t="str">
        <v>Keyboard</v>
      </c>
      <c r="T25" s="18"/>
    </row>
    <row r="26" spans="1:20">
      <c r="D26" s="31"/>
      <c r="E26" s="31" t="str">
        <v>LOW</v>
      </c>
      <c r="F26" s="31" t="str">
        <v>LOW</v>
      </c>
      <c r="G26" s="31" t="str">
        <v>BULK</v>
      </c>
      <c r="H26" s="31" t="str">
        <f>IF(AND(Sales_data!G26&gt;30000,Sales_data!I26&gt;5000),"HIGH","NRML")</f>
        <v>NRML</v>
      </c>
      <c r="I26" s="31" t="str">
        <f>IF(AND(Sales_data!H26&gt;=5,Sales_data!I26&gt;=1000),"BEST","REGURAL")</f>
        <v>REGURAL</v>
      </c>
      <c r="J26" s="31" t="str">
        <f>IF(OR(Sales_data!D26="TAMILNADU",Sales_data!D26="KERALA"),"IMPORTANT","OTHER STATE")</f>
        <v>OTHER STATE</v>
      </c>
      <c r="K26" s="31" t="str">
        <f>IF(OR(Sales_data!G26&gt;50000,Sales_data!I26&gt;7000),"TOP","NORMAL")</f>
        <v>NORMAL</v>
      </c>
      <c r="L26" s="31" t="str">
        <f>IF(OR(AND(Sales_data!G26&gt;40000,Sales_data!I26&gt;6000),Sales_data!H26&gt;=10),"HIGH PRIORITY")</f>
        <v>HIGH PRIORITY</v>
      </c>
      <c r="N26" s="23"/>
      <c r="O26" s="16"/>
      <c r="Q26" s="16"/>
      <c r="R26" s="49" t="str">
        <v>Monitor</v>
      </c>
      <c r="T26" s="51" t="s">
        <v>165</v>
      </c>
    </row>
    <row r="27" spans="1:20" ht="18">
      <c r="A27" s="37" t="s">
        <v>166</v>
      </c>
      <c r="D27" s="33"/>
      <c r="E27" s="31" t="str">
        <v>LOW</v>
      </c>
      <c r="F27" s="31" t="str">
        <v>LOW</v>
      </c>
      <c r="G27" s="31" t="str">
        <v>BULK</v>
      </c>
      <c r="H27" s="31" t="str">
        <f>IF(AND(Sales_data!G27&gt;30000,Sales_data!I27&gt;5000),"HIGH","NRML")</f>
        <v>NRML</v>
      </c>
      <c r="I27" s="31" t="str">
        <f>IF(AND(Sales_data!H27&gt;=5,Sales_data!I27&gt;=1000),"BEST","REGURAL")</f>
        <v>BEST</v>
      </c>
      <c r="J27" s="31" t="str">
        <f>IF(OR(Sales_data!D27="TAMILNADU",Sales_data!D27="KERALA"),"IMPORTANT","OTHER STATE")</f>
        <v>IMPORTANT</v>
      </c>
      <c r="K27" s="31" t="str">
        <f>IF(OR(Sales_data!G27&gt;50000,Sales_data!I27&gt;7000),"TOP","NORMAL")</f>
        <v>NORMAL</v>
      </c>
      <c r="L27" s="31" t="b">
        <f>IF(OR(AND(Sales_data!G27&gt;40000,Sales_data!I27&gt;6000),Sales_data!H27&gt;=10),"HIGH PRIORITY")</f>
        <v>0</v>
      </c>
      <c r="N27" s="23"/>
      <c r="O27" s="17"/>
      <c r="P27" s="26" t="s">
        <v>167</v>
      </c>
      <c r="Q27" s="17"/>
      <c r="R27" s="50" t="str">
        <v>Laptop</v>
      </c>
      <c r="T27" s="18" t="s">
        <v>168</v>
      </c>
    </row>
    <row r="28" spans="1:20">
      <c r="A28" s="38" t="s">
        <v>169</v>
      </c>
      <c r="D28" s="33"/>
      <c r="E28" s="31" t="str">
        <v>LOW</v>
      </c>
      <c r="F28" s="31" t="str">
        <v>LOW</v>
      </c>
      <c r="G28" s="31" t="str">
        <v>BULK</v>
      </c>
      <c r="H28" s="31" t="str">
        <f>IF(AND(Sales_data!G28&gt;30000,Sales_data!I28&gt;5000),"HIGH","NRML")</f>
        <v>NRML</v>
      </c>
      <c r="I28" s="31" t="str">
        <f>IF(AND(Sales_data!H28&gt;=5,Sales_data!I28&gt;=1000),"BEST","REGURAL")</f>
        <v>BEST</v>
      </c>
      <c r="J28" s="31" t="str">
        <f>IF(OR(Sales_data!D28="TAMILNADU",Sales_data!D28="KERALA"),"IMPORTANT","OTHER STATE")</f>
        <v>OTHER STATE</v>
      </c>
      <c r="K28" s="31" t="str">
        <f>IF(OR(Sales_data!G28&gt;50000,Sales_data!I28&gt;7000),"TOP","NORMAL")</f>
        <v>NORMAL</v>
      </c>
      <c r="L28" s="31" t="b">
        <f>IF(OR(AND(Sales_data!G28&gt;40000,Sales_data!I28&gt;6000),Sales_data!H28&gt;=10),"HIGH PRIORITY")</f>
        <v>0</v>
      </c>
      <c r="N28" s="23"/>
      <c r="O28" s="17"/>
      <c r="P28" s="27" t="s">
        <v>170</v>
      </c>
      <c r="Q28" s="17"/>
      <c r="R28" s="50" t="str">
        <v>Mobile</v>
      </c>
      <c r="T28" s="18" t="s">
        <v>171</v>
      </c>
    </row>
    <row r="29" spans="1:20" ht="76.5">
      <c r="A29" s="38">
        <f>SUMIF(Sales_data!E2:E51,"ELECTRONICS",Sales_data!G2:G51)</f>
        <v>765500</v>
      </c>
      <c r="D29" s="31"/>
      <c r="E29" s="31" t="str">
        <v>LOW</v>
      </c>
      <c r="F29" s="31" t="str">
        <v>LOW</v>
      </c>
      <c r="G29" s="31" t="str">
        <v>BULK</v>
      </c>
      <c r="H29" s="31" t="str">
        <f>IF(AND(Sales_data!G29&gt;30000,Sales_data!I29&gt;5000),"HIGH","NRML")</f>
        <v>NRML</v>
      </c>
      <c r="I29" s="31" t="str">
        <f>IF(AND(Sales_data!H29&gt;=5,Sales_data!I29&gt;=1000),"BEST","REGURAL")</f>
        <v>REGURAL</v>
      </c>
      <c r="J29" s="31" t="str">
        <f>IF(OR(Sales_data!D29="TAMILNADU",Sales_data!D29="KERALA"),"IMPORTANT","OTHER STATE")</f>
        <v>OTHER STATE</v>
      </c>
      <c r="K29" s="31" t="str">
        <f>IF(OR(Sales_data!G29&gt;50000,Sales_data!I29&gt;7000),"TOP","NORMAL")</f>
        <v>NORMAL</v>
      </c>
      <c r="L29" s="31" t="str">
        <f>IF(OR(AND(Sales_data!G29&gt;40000,Sales_data!I29&gt;6000),Sales_data!H29&gt;=10),"HIGH PRIORITY")</f>
        <v>HIGH PRIORITY</v>
      </c>
      <c r="N29" s="23"/>
      <c r="O29" s="17"/>
      <c r="P29" s="28" t="s">
        <v>172</v>
      </c>
      <c r="Q29" s="17"/>
      <c r="R29" s="50" t="str">
        <v>Mouse</v>
      </c>
      <c r="T29" s="18"/>
    </row>
    <row r="30" spans="1:20">
      <c r="A30" s="39"/>
      <c r="D30" s="31"/>
      <c r="E30" s="31" t="str">
        <v>HIGH PROFIT</v>
      </c>
      <c r="F30" s="31" t="str">
        <v>GOOD SALES</v>
      </c>
      <c r="G30" s="31" t="str">
        <v>NORMAL</v>
      </c>
      <c r="H30" s="31" t="str">
        <f>IF(AND(Sales_data!G30&gt;30000,Sales_data!I30&gt;5000),"HIGH","NRML")</f>
        <v>HIGH</v>
      </c>
      <c r="I30" s="31" t="str">
        <f>IF(AND(Sales_data!H30&gt;=5,Sales_data!I30&gt;=1000),"BEST","REGURAL")</f>
        <v>REGURAL</v>
      </c>
      <c r="J30" s="31" t="str">
        <f>IF(OR(Sales_data!D30="TAMILNADU",Sales_data!D30="KERALA"),"IMPORTANT","OTHER STATE")</f>
        <v>OTHER STATE</v>
      </c>
      <c r="K30" s="31" t="str">
        <f>IF(OR(Sales_data!G30&gt;50000,Sales_data!I30&gt;7000),"TOP","NORMAL")</f>
        <v>NORMAL</v>
      </c>
      <c r="L30" s="31" t="str">
        <f>IF(OR(AND(Sales_data!G30&gt;40000,Sales_data!I30&gt;6000),Sales_data!H30&gt;=10),"HIGH PRIORITY")</f>
        <v>HIGH PRIORITY</v>
      </c>
      <c r="N30" s="9"/>
      <c r="P30" s="9" t="str">
        <f>_xlfn.TEXTJOIN(" | ",TRUE,Sales_data!C8,Sales_data!D28,Sales_data!F28)</f>
        <v>Suresh | Karnataka | Keyboard</v>
      </c>
      <c r="R30" s="48" t="str">
        <v>Keyboard</v>
      </c>
      <c r="T30" s="52" t="s">
        <v>173</v>
      </c>
    </row>
    <row r="31" spans="1:20">
      <c r="A31" s="39"/>
      <c r="D31" s="31"/>
      <c r="E31" s="31" t="str">
        <v>HIGH PROFIT</v>
      </c>
      <c r="F31" s="31" t="str">
        <v>LOW</v>
      </c>
      <c r="G31" s="31" t="str">
        <v>NORMAL</v>
      </c>
      <c r="H31" s="31" t="str">
        <f>IF(AND(Sales_data!G31&gt;30000,Sales_data!I31&gt;5000),"HIGH","NRML")</f>
        <v>NRML</v>
      </c>
      <c r="I31" s="31" t="str">
        <f>IF(AND(Sales_data!H31&gt;=5,Sales_data!I31&gt;=1000),"BEST","REGURAL")</f>
        <v>REGURAL</v>
      </c>
      <c r="J31" s="31" t="str">
        <f>IF(OR(Sales_data!D31="TAMILNADU",Sales_data!D31="KERALA"),"IMPORTANT","OTHER STATE")</f>
        <v>IMPORTANT</v>
      </c>
      <c r="K31" s="31" t="str">
        <f>IF(OR(Sales_data!G31&gt;50000,Sales_data!I31&gt;7000),"TOP","NORMAL")</f>
        <v>NORMAL</v>
      </c>
      <c r="L31" s="31" t="b">
        <f>IF(OR(AND(Sales_data!G31&gt;40000,Sales_data!I31&gt;6000),Sales_data!H31&gt;=10),"HIGH PRIORITY")</f>
        <v>0</v>
      </c>
      <c r="N31" s="9"/>
      <c r="R31" s="48" t="str">
        <v>Monitor</v>
      </c>
      <c r="T31" s="18" t="s">
        <v>174</v>
      </c>
    </row>
    <row r="32" spans="1:20" ht="76.5">
      <c r="A32" s="39"/>
      <c r="D32" s="31"/>
      <c r="E32" s="31" t="str">
        <v>HIGH PROFIT</v>
      </c>
      <c r="F32" s="31" t="str">
        <v>GOOD SALES</v>
      </c>
      <c r="G32" s="31" t="str">
        <v>NORMAL</v>
      </c>
      <c r="H32" s="31" t="str">
        <f>IF(AND(Sales_data!G32&gt;30000,Sales_data!I32&gt;5000),"HIGH","NRML")</f>
        <v>HIGH</v>
      </c>
      <c r="I32" s="31" t="str">
        <f>IF(AND(Sales_data!H32&gt;=5,Sales_data!I32&gt;=1000),"BEST","REGURAL")</f>
        <v>REGURAL</v>
      </c>
      <c r="J32" s="31" t="str">
        <f>IF(OR(Sales_data!D32="TAMILNADU",Sales_data!D32="KERALA"),"IMPORTANT","OTHER STATE")</f>
        <v>OTHER STATE</v>
      </c>
      <c r="K32" s="31" t="str">
        <f>IF(OR(Sales_data!G32&gt;50000,Sales_data!I32&gt;7000),"TOP","NORMAL")</f>
        <v>NORMAL</v>
      </c>
      <c r="L32" s="31" t="str">
        <f>IF(OR(AND(Sales_data!G32&gt;40000,Sales_data!I32&gt;6000),Sales_data!H32&gt;=10),"HIGH PRIORITY")</f>
        <v>HIGH PRIORITY</v>
      </c>
      <c r="N32" s="20" t="s">
        <v>175</v>
      </c>
      <c r="P32" s="29" t="s">
        <v>176</v>
      </c>
      <c r="R32" s="48" t="str">
        <v>Laptop</v>
      </c>
      <c r="T32" s="18"/>
    </row>
    <row r="33" spans="1:20">
      <c r="A33" s="39"/>
      <c r="D33" s="31"/>
      <c r="E33" s="31" t="str">
        <v>LOW</v>
      </c>
      <c r="F33" s="31" t="str">
        <v>LOW</v>
      </c>
      <c r="G33" s="31" t="str">
        <v>BULK</v>
      </c>
      <c r="H33" s="31" t="str">
        <f>IF(AND(Sales_data!G33&gt;30000,Sales_data!I33&gt;5000),"HIGH","NRML")</f>
        <v>NRML</v>
      </c>
      <c r="I33" s="31" t="str">
        <f>IF(AND(Sales_data!H33&gt;=5,Sales_data!I33&gt;=1000),"BEST","REGURAL")</f>
        <v>REGURAL</v>
      </c>
      <c r="J33" s="31" t="str">
        <f>IF(OR(Sales_data!D33="TAMILNADU",Sales_data!D33="KERALA"),"IMPORTANT","OTHER STATE")</f>
        <v>OTHER STATE</v>
      </c>
      <c r="K33" s="31" t="str">
        <f>IF(OR(Sales_data!G33&gt;50000,Sales_data!I33&gt;7000),"TOP","NORMAL")</f>
        <v>NORMAL</v>
      </c>
      <c r="L33" s="31" t="str">
        <f>IF(OR(AND(Sales_data!G33&gt;40000,Sales_data!I33&gt;6000),Sales_data!H33&gt;=10),"HIGH PRIORITY")</f>
        <v>HIGH PRIORITY</v>
      </c>
      <c r="N33" s="18">
        <f>HLOOKUP("Mobile",E54:I57,2,FALSE)</f>
        <v>25000</v>
      </c>
      <c r="P33" s="9" t="str">
        <f>_xlfn.TEXTJOIN(" - ",TRUE,Sales_data!A12,Sales_data!C12,Sales_data!F12)</f>
        <v>ORD011 - Arun - Laptop</v>
      </c>
      <c r="R33" s="48" t="str">
        <v>Mobile</v>
      </c>
      <c r="T33" s="18" t="s">
        <v>177</v>
      </c>
    </row>
    <row r="34" spans="1:20">
      <c r="A34" s="38" t="s">
        <v>178</v>
      </c>
      <c r="D34" s="31"/>
      <c r="E34" s="31" t="str">
        <v>HIGH PROFIT</v>
      </c>
      <c r="F34" s="31" t="str">
        <v>GOOD SALES</v>
      </c>
      <c r="G34" s="31" t="str">
        <v>NORMAL</v>
      </c>
      <c r="H34" s="31" t="str">
        <f>IF(AND(Sales_data!G34&gt;30000,Sales_data!I34&gt;5000),"HIGH","NRML")</f>
        <v>HIGH</v>
      </c>
      <c r="I34" s="31" t="str">
        <f>IF(AND(Sales_data!H34&gt;=5,Sales_data!I34&gt;=1000),"BEST","REGURAL")</f>
        <v>REGURAL</v>
      </c>
      <c r="J34" s="31" t="str">
        <f>IF(OR(Sales_data!D34="TAMILNADU",Sales_data!D34="KERALA"),"IMPORTANT","OTHER STATE")</f>
        <v>OTHER STATE</v>
      </c>
      <c r="K34" s="31" t="str">
        <f>IF(OR(Sales_data!G34&gt;50000,Sales_data!I34&gt;7000),"TOP","NORMAL")</f>
        <v>NORMAL</v>
      </c>
      <c r="L34" s="31" t="b">
        <f>IF(OR(AND(Sales_data!G34&gt;40000,Sales_data!I34&gt;6000),Sales_data!H34&gt;=10),"HIGH PRIORITY")</f>
        <v>0</v>
      </c>
      <c r="N34" s="9"/>
      <c r="R34" s="48" t="str">
        <v>Mouse</v>
      </c>
      <c r="T34" s="18" t="s">
        <v>179</v>
      </c>
    </row>
    <row r="35" spans="1:20">
      <c r="A35" s="38">
        <f>SUMIF(Sales_data!E2:E51,"FURNITURE",Sales_data!I2:I51)</f>
        <v>56000</v>
      </c>
      <c r="D35" s="31"/>
      <c r="E35" s="31" t="str">
        <v>LOW</v>
      </c>
      <c r="F35" s="31" t="str">
        <v>LOW</v>
      </c>
      <c r="G35" s="31" t="str">
        <v>NORMAL</v>
      </c>
      <c r="H35" s="31" t="str">
        <f>IF(AND(Sales_data!G35&gt;30000,Sales_data!I35&gt;5000),"HIGH","NRML")</f>
        <v>NRML</v>
      </c>
      <c r="I35" s="31" t="str">
        <f>IF(AND(Sales_data!H35&gt;=5,Sales_data!I35&gt;=1000),"BEST","REGURAL")</f>
        <v>REGURAL</v>
      </c>
      <c r="J35" s="31" t="str">
        <f>IF(OR(Sales_data!D35="TAMILNADU",Sales_data!D35="KERALA"),"IMPORTANT","OTHER STATE")</f>
        <v>IMPORTANT</v>
      </c>
      <c r="K35" s="31" t="str">
        <f>IF(OR(Sales_data!G35&gt;50000,Sales_data!I35&gt;7000),"TOP","NORMAL")</f>
        <v>NORMAL</v>
      </c>
      <c r="L35" s="31" t="b">
        <f>IF(OR(AND(Sales_data!G35&gt;40000,Sales_data!I35&gt;6000),Sales_data!H35&gt;=10),"HIGH PRIORITY")</f>
        <v>0</v>
      </c>
      <c r="N35" s="24" t="s">
        <v>180</v>
      </c>
      <c r="P35" s="10" t="s">
        <v>181</v>
      </c>
      <c r="R35" s="48" t="str">
        <v>Keyboard</v>
      </c>
      <c r="T35" s="18"/>
    </row>
    <row r="36" spans="1:20">
      <c r="A36" s="39"/>
      <c r="D36" s="31"/>
      <c r="E36" s="31" t="str">
        <v>LOW</v>
      </c>
      <c r="F36" s="31" t="str">
        <v>LOW</v>
      </c>
      <c r="G36" s="31" t="str">
        <v>BULK</v>
      </c>
      <c r="H36" s="31" t="str">
        <f>IF(AND(Sales_data!G36&gt;30000,Sales_data!I36&gt;5000),"HIGH","NRML")</f>
        <v>NRML</v>
      </c>
      <c r="I36" s="31" t="str">
        <f>IF(AND(Sales_data!H36&gt;=5,Sales_data!I36&gt;=1000),"BEST","REGURAL")</f>
        <v>REGURAL</v>
      </c>
      <c r="J36" s="31" t="str">
        <f>IF(OR(Sales_data!D36="TAMILNADU",Sales_data!D36="KERALA"),"IMPORTANT","OTHER STATE")</f>
        <v>OTHER STATE</v>
      </c>
      <c r="K36" s="31" t="str">
        <f>IF(OR(Sales_data!G36&gt;50000,Sales_data!I36&gt;7000),"TOP","NORMAL")</f>
        <v>NORMAL</v>
      </c>
      <c r="L36" s="31" t="b">
        <f>IF(OR(AND(Sales_data!G36&gt;40000,Sales_data!I36&gt;6000),Sales_data!H36&gt;=10),"HIGH PRIORITY")</f>
        <v>0</v>
      </c>
      <c r="N36" s="18">
        <f>HLOOKUP("Mouse",E54:I57,3,FALSE)</f>
        <v>10</v>
      </c>
      <c r="P36" s="11" t="e">
        <f>TRIM(#REF!)</f>
        <v>#REF!</v>
      </c>
      <c r="R36" s="48" t="str">
        <v>Monitor</v>
      </c>
      <c r="T36" s="18" t="s">
        <v>182</v>
      </c>
    </row>
    <row r="37" spans="1:20">
      <c r="A37" s="39"/>
      <c r="D37" s="31"/>
      <c r="E37" s="31" t="str">
        <v>LOW</v>
      </c>
      <c r="F37" s="31" t="str">
        <v>LOW</v>
      </c>
      <c r="G37" s="31" t="str">
        <v>BULK</v>
      </c>
      <c r="H37" s="31" t="str">
        <f>IF(AND(Sales_data!G37&gt;30000,Sales_data!I37&gt;5000),"HIGH","NRML")</f>
        <v>NRML</v>
      </c>
      <c r="I37" s="31" t="str">
        <f>IF(AND(Sales_data!H37&gt;=5,Sales_data!I37&gt;=1000),"BEST","REGURAL")</f>
        <v>REGURAL</v>
      </c>
      <c r="J37" s="31" t="str">
        <f>IF(OR(Sales_data!D37="TAMILNADU",Sales_data!D37="KERALA"),"IMPORTANT","OTHER STATE")</f>
        <v>OTHER STATE</v>
      </c>
      <c r="K37" s="31" t="str">
        <f>IF(OR(Sales_data!G37&gt;50000,Sales_data!I37&gt;7000),"TOP","NORMAL")</f>
        <v>NORMAL</v>
      </c>
      <c r="L37" s="31" t="str">
        <f>IF(OR(AND(Sales_data!G37&gt;40000,Sales_data!I37&gt;6000),Sales_data!H37&gt;=10),"HIGH PRIORITY")</f>
        <v>HIGH PRIORITY</v>
      </c>
      <c r="N37" s="9" t="s">
        <v>183</v>
      </c>
      <c r="P37" s="55" t="s">
        <v>184</v>
      </c>
      <c r="R37" s="48" t="str">
        <v>Laptop</v>
      </c>
      <c r="T37" s="18" t="s">
        <v>185</v>
      </c>
    </row>
    <row r="38" spans="1:20">
      <c r="A38" s="39"/>
      <c r="D38" s="31"/>
      <c r="E38" s="31" t="str">
        <v>LOW</v>
      </c>
      <c r="F38" s="31" t="str">
        <v>LOW</v>
      </c>
      <c r="G38" s="31" t="str">
        <v>BULK</v>
      </c>
      <c r="H38" s="31" t="str">
        <f>IF(AND(Sales_data!G38&gt;30000,Sales_data!I38&gt;5000),"HIGH","NRML")</f>
        <v>NRML</v>
      </c>
      <c r="I38" s="31" t="str">
        <f>IF(AND(Sales_data!H38&gt;=5,Sales_data!I38&gt;=1000),"BEST","REGURAL")</f>
        <v>BEST</v>
      </c>
      <c r="J38" s="31" t="str">
        <f>IF(OR(Sales_data!D38="TAMILNADU",Sales_data!D38="KERALA"),"IMPORTANT","OTHER STATE")</f>
        <v>OTHER STATE</v>
      </c>
      <c r="K38" s="31" t="str">
        <f>IF(OR(Sales_data!G38&gt;50000,Sales_data!I38&gt;7000),"TOP","NORMAL")</f>
        <v>NORMAL</v>
      </c>
      <c r="L38" s="31" t="b">
        <f>IF(OR(AND(Sales_data!G38&gt;40000,Sales_data!I38&gt;6000),Sales_data!H38&gt;=10),"HIGH PRIORITY")</f>
        <v>0</v>
      </c>
      <c r="N38" s="18">
        <f>HLOOKUP("Keyboard",E54:I57,4,FALSE)</f>
        <v>300</v>
      </c>
      <c r="P38" s="11" t="str">
        <f>TRIM(Sales_data!D2)</f>
        <v>Tamil Nadu</v>
      </c>
      <c r="R38" s="48" t="str">
        <v>Mobile</v>
      </c>
      <c r="T38" s="18"/>
    </row>
    <row r="39" spans="1:20" ht="18">
      <c r="A39" s="37" t="s">
        <v>186</v>
      </c>
      <c r="D39" s="31"/>
      <c r="E39" s="31" t="str">
        <v>LOW</v>
      </c>
      <c r="F39" s="31" t="str">
        <v>LOW</v>
      </c>
      <c r="G39" s="31" t="str">
        <v>BULK</v>
      </c>
      <c r="H39" s="31" t="str">
        <f>IF(AND(Sales_data!G39&gt;30000,Sales_data!I39&gt;5000),"HIGH","NRML")</f>
        <v>NRML</v>
      </c>
      <c r="I39" s="31" t="str">
        <f>IF(AND(Sales_data!H39&gt;=5,Sales_data!I39&gt;=1000),"BEST","REGURAL")</f>
        <v>BEST</v>
      </c>
      <c r="J39" s="31" t="str">
        <f>IF(OR(Sales_data!D39="TAMILNADU",Sales_data!D39="KERALA"),"IMPORTANT","OTHER STATE")</f>
        <v>IMPORTANT</v>
      </c>
      <c r="K39" s="31" t="str">
        <f>IF(OR(Sales_data!G39&gt;50000,Sales_data!I39&gt;7000),"TOP","NORMAL")</f>
        <v>NORMAL</v>
      </c>
      <c r="L39" s="31" t="b">
        <f>IF(OR(AND(Sales_data!G39&gt;40000,Sales_data!I39&gt;6000),Sales_data!H39&gt;=10),"HIGH PRIORITY")</f>
        <v>0</v>
      </c>
      <c r="N39" s="24" t="s">
        <v>187</v>
      </c>
      <c r="R39" s="48" t="str">
        <v>Mouse</v>
      </c>
    </row>
    <row r="40" spans="1:20">
      <c r="A40" s="38" t="s">
        <v>188</v>
      </c>
      <c r="D40" s="31"/>
      <c r="E40" s="31" t="str">
        <v>HIGH PROFIT</v>
      </c>
      <c r="F40" s="31" t="str">
        <v>GOOD SALES</v>
      </c>
      <c r="G40" s="31" t="str">
        <v>NORMAL</v>
      </c>
      <c r="H40" s="31" t="str">
        <f>IF(AND(Sales_data!G40&gt;30000,Sales_data!I40&gt;5000),"HIGH","NRML")</f>
        <v>HIGH</v>
      </c>
      <c r="I40" s="31" t="str">
        <f>IF(AND(Sales_data!H40&gt;=5,Sales_data!I40&gt;=1000),"BEST","REGURAL")</f>
        <v>REGURAL</v>
      </c>
      <c r="J40" s="31" t="str">
        <f>IF(OR(Sales_data!D40="TAMILNADU",Sales_data!D40="KERALA"),"IMPORTANT","OTHER STATE")</f>
        <v>OTHER STATE</v>
      </c>
      <c r="K40" s="31" t="str">
        <f>IF(OR(Sales_data!G40&gt;50000,Sales_data!I40&gt;7000),"TOP","NORMAL")</f>
        <v>NORMAL</v>
      </c>
      <c r="L40" s="31" t="b">
        <f>IF(OR(AND(Sales_data!G40&gt;40000,Sales_data!I40&gt;6000),Sales_data!H40&gt;=10),"HIGH PRIORITY")</f>
        <v>0</v>
      </c>
      <c r="N40" s="19">
        <f>HLOOKUP("Mobile",E54:I57,3,FALSE)</f>
        <v>5</v>
      </c>
      <c r="R40" s="48" t="str">
        <v>Keyboard</v>
      </c>
    </row>
    <row r="41" spans="1:20">
      <c r="A41" s="38">
        <f>COUNTIF(Sales_data!D2:D51,"TAMIL NADU")</f>
        <v>13</v>
      </c>
      <c r="D41" s="31"/>
      <c r="E41" s="31" t="str">
        <v>LOW</v>
      </c>
      <c r="F41" s="31" t="str">
        <v>LOW</v>
      </c>
      <c r="G41" s="31" t="str">
        <v>BULK</v>
      </c>
      <c r="H41" s="31" t="str">
        <f>IF(AND(Sales_data!G41&gt;30000,Sales_data!I41&gt;5000),"HIGH","NRML")</f>
        <v>NRML</v>
      </c>
      <c r="I41" s="31" t="str">
        <f>IF(AND(Sales_data!H41&gt;=5,Sales_data!I41&gt;=1000),"BEST","REGURAL")</f>
        <v>REGURAL</v>
      </c>
      <c r="J41" s="31" t="str">
        <f>IF(OR(Sales_data!D41="TAMILNADU",Sales_data!D41="KERALA"),"IMPORTANT","OTHER STATE")</f>
        <v>OTHER STATE</v>
      </c>
      <c r="K41" s="31" t="str">
        <f>IF(OR(Sales_data!G41&gt;50000,Sales_data!I41&gt;7000),"TOP","NORMAL")</f>
        <v>NORMAL</v>
      </c>
      <c r="L41" s="31" t="str">
        <f>IF(OR(AND(Sales_data!G41&gt;40000,Sales_data!I41&gt;6000),Sales_data!H41&gt;=10),"HIGH PRIORITY")</f>
        <v>HIGH PRIORITY</v>
      </c>
      <c r="N41" s="9"/>
      <c r="R41" s="48" t="str">
        <v>Monitor</v>
      </c>
    </row>
    <row r="42" spans="1:20">
      <c r="A42" s="39"/>
      <c r="D42" s="31"/>
      <c r="E42" s="31" t="str">
        <v>HIGH PROFIT</v>
      </c>
      <c r="F42" s="31" t="str">
        <v>GOOD SALES</v>
      </c>
      <c r="G42" s="31" t="str">
        <v>NORMAL</v>
      </c>
      <c r="H42" s="31" t="str">
        <f>IF(AND(Sales_data!G42&gt;30000,Sales_data!I42&gt;5000),"HIGH","NRML")</f>
        <v>HIGH</v>
      </c>
      <c r="I42" s="31" t="str">
        <f>IF(AND(Sales_data!H42&gt;=5,Sales_data!I42&gt;=1000),"BEST","REGURAL")</f>
        <v>REGURAL</v>
      </c>
      <c r="J42" s="31" t="str">
        <f>IF(OR(Sales_data!D42="TAMILNADU",Sales_data!D42="KERALA"),"IMPORTANT","OTHER STATE")</f>
        <v>OTHER STATE</v>
      </c>
      <c r="K42" s="31" t="str">
        <f>IF(OR(Sales_data!G42&gt;50000,Sales_data!I42&gt;7000),"TOP","NORMAL")</f>
        <v>TOP</v>
      </c>
      <c r="L42" s="31" t="str">
        <f>IF(OR(AND(Sales_data!G42&gt;40000,Sales_data!I42&gt;6000),Sales_data!H42&gt;=10),"HIGH PRIORITY")</f>
        <v>HIGH PRIORITY</v>
      </c>
      <c r="N42" s="9" t="s">
        <v>189</v>
      </c>
      <c r="R42" s="44"/>
    </row>
    <row r="43" spans="1:20">
      <c r="A43" s="38" t="s">
        <v>190</v>
      </c>
      <c r="D43" s="31"/>
      <c r="E43" s="31" t="str">
        <v>HIGH PROFIT</v>
      </c>
      <c r="F43" s="31" t="str">
        <v>LOW</v>
      </c>
      <c r="G43" s="31" t="str">
        <v>NORMAL</v>
      </c>
      <c r="H43" s="31" t="str">
        <f>IF(AND(Sales_data!G43&gt;30000,Sales_data!I43&gt;5000),"HIGH","NRML")</f>
        <v>NRML</v>
      </c>
      <c r="I43" s="31" t="str">
        <f>IF(AND(Sales_data!H43&gt;=5,Sales_data!I43&gt;=1000),"BEST","REGURAL")</f>
        <v>REGURAL</v>
      </c>
      <c r="J43" s="31" t="str">
        <f>IF(OR(Sales_data!D43="TAMILNADU",Sales_data!D43="KERALA"),"IMPORTANT","OTHER STATE")</f>
        <v>IMPORTANT</v>
      </c>
      <c r="K43" s="31" t="str">
        <f>IF(OR(Sales_data!G43&gt;50000,Sales_data!I43&gt;7000),"TOP","NORMAL")</f>
        <v>NORMAL</v>
      </c>
      <c r="L43" s="31" t="b">
        <f>IF(OR(AND(Sales_data!G43&gt;40000,Sales_data!I43&gt;6000),Sales_data!H43&gt;=10),"HIGH PRIORITY")</f>
        <v>0</v>
      </c>
      <c r="N43" s="9"/>
      <c r="R43" s="44" t="s">
        <v>191</v>
      </c>
    </row>
    <row r="44" spans="1:20">
      <c r="A44" s="38">
        <f>COUNTIF(Sales_data!E2:E51,"ELECTRONICS")</f>
        <v>25</v>
      </c>
      <c r="D44" s="31"/>
      <c r="E44" s="31" t="str">
        <v>HIGH PROFIT</v>
      </c>
      <c r="F44" s="31" t="str">
        <v>GOOD SALES</v>
      </c>
      <c r="G44" s="31" t="str">
        <v>NORMAL</v>
      </c>
      <c r="H44" s="31" t="str">
        <f>IF(AND(Sales_data!G44&gt;30000,Sales_data!I44&gt;5000),"HIGH","NRML")</f>
        <v>HIGH</v>
      </c>
      <c r="I44" s="31" t="str">
        <f>IF(AND(Sales_data!H44&gt;=5,Sales_data!I44&gt;=1000),"BEST","REGURAL")</f>
        <v>REGURAL</v>
      </c>
      <c r="J44" s="31" t="str">
        <f>IF(OR(Sales_data!D44="TAMILNADU",Sales_data!D44="KERALA"),"IMPORTANT","OTHER STATE")</f>
        <v>OTHER STATE</v>
      </c>
      <c r="K44" s="31" t="str">
        <f>IF(OR(Sales_data!G44&gt;50000,Sales_data!I44&gt;7000),"TOP","NORMAL")</f>
        <v>NORMAL</v>
      </c>
      <c r="L44" s="31" t="str">
        <f>IF(OR(AND(Sales_data!G44&gt;40000,Sales_data!I44&gt;6000),Sales_data!H44&gt;=10),"HIGH PRIORITY")</f>
        <v>HIGH PRIORITY</v>
      </c>
      <c r="N44" s="18" t="str">
        <f>INDEX(Sales_data!C2:C51,MATCH(Sales_data!A26,Sales_data!A2:A51,0))</f>
        <v>Karthik</v>
      </c>
      <c r="R44" s="48" t="str" cm="1">
        <f t="array" ref="R44:R55">_xlfn._xlws.FILTER(Sales_data!C2:C51,Sales_data!D2:D51="Karnataka")</f>
        <v>Ravi</v>
      </c>
    </row>
    <row r="45" spans="1:20">
      <c r="A45" s="39"/>
      <c r="D45" s="31"/>
      <c r="E45" s="31" t="str">
        <v>LOW</v>
      </c>
      <c r="F45" s="31" t="str">
        <v>LOW</v>
      </c>
      <c r="G45" s="31" t="str">
        <v>BULK</v>
      </c>
      <c r="H45" s="31" t="str">
        <f>IF(AND(Sales_data!G45&gt;30000,Sales_data!I45&gt;5000),"HIGH","NRML")</f>
        <v>NRML</v>
      </c>
      <c r="I45" s="31" t="str">
        <f>IF(AND(Sales_data!H45&gt;=5,Sales_data!I45&gt;=1000),"BEST","REGURAL")</f>
        <v>REGURAL</v>
      </c>
      <c r="J45" s="31" t="str">
        <f>IF(OR(Sales_data!D45="TAMILNADU",Sales_data!D45="KERALA"),"IMPORTANT","OTHER STATE")</f>
        <v>OTHER STATE</v>
      </c>
      <c r="K45" s="31" t="str">
        <f>IF(OR(Sales_data!G45&gt;50000,Sales_data!I45&gt;7000),"TOP","NORMAL")</f>
        <v>NORMAL</v>
      </c>
      <c r="L45" s="31" t="str">
        <f>IF(OR(AND(Sales_data!G45&gt;40000,Sales_data!I45&gt;6000),Sales_data!H45&gt;=10),"HIGH PRIORITY")</f>
        <v>HIGH PRIORITY</v>
      </c>
      <c r="N45" s="9"/>
      <c r="R45" s="48" t="str">
        <v>Suresh</v>
      </c>
    </row>
    <row r="46" spans="1:20" ht="18">
      <c r="A46" s="37" t="s">
        <v>192</v>
      </c>
      <c r="D46" s="31"/>
      <c r="E46" s="31" t="str">
        <v>LOW</v>
      </c>
      <c r="F46" s="31" t="str">
        <v>LOW</v>
      </c>
      <c r="G46" s="31" t="str">
        <v>BULK</v>
      </c>
      <c r="H46" s="31" t="str">
        <f>IF(AND(Sales_data!G46&gt;30000,Sales_data!I46&gt;5000),"HIGH","NRML")</f>
        <v>NRML</v>
      </c>
      <c r="I46" s="31" t="str">
        <f>IF(AND(Sales_data!H46&gt;=5,Sales_data!I46&gt;=1000),"BEST","REGURAL")</f>
        <v>REGURAL</v>
      </c>
      <c r="J46" s="31" t="str">
        <f>IF(OR(Sales_data!D46="TAMILNADU",Sales_data!D46="KERALA"),"IMPORTANT","OTHER STATE")</f>
        <v>OTHER STATE</v>
      </c>
      <c r="K46" s="31" t="str">
        <f>IF(OR(Sales_data!G46&gt;50000,Sales_data!I46&gt;7000),"TOP","NORMAL")</f>
        <v>NORMAL</v>
      </c>
      <c r="L46" s="31" t="b">
        <f>IF(OR(AND(Sales_data!G46&gt;40000,Sales_data!I46&gt;6000),Sales_data!H46&gt;=10),"HIGH PRIORITY")</f>
        <v>0</v>
      </c>
      <c r="N46" s="9" t="s">
        <v>193</v>
      </c>
      <c r="R46" s="48" t="str">
        <v>Arun</v>
      </c>
    </row>
    <row r="47" spans="1:20">
      <c r="A47" s="38" t="s">
        <v>194</v>
      </c>
      <c r="D47" s="31"/>
      <c r="E47" s="31" t="str">
        <v>HIGH PROFIT</v>
      </c>
      <c r="F47" s="31" t="str">
        <v>LOW</v>
      </c>
      <c r="G47" s="31" t="str">
        <v>NORMAL</v>
      </c>
      <c r="H47" s="31" t="str">
        <f>IF(AND(Sales_data!G47&gt;30000,Sales_data!I47&gt;5000),"HIGH","NRML")</f>
        <v>NRML</v>
      </c>
      <c r="I47" s="31" t="str">
        <f>IF(AND(Sales_data!H47&gt;=5,Sales_data!I47&gt;=1000),"BEST","REGURAL")</f>
        <v>REGURAL</v>
      </c>
      <c r="J47" s="31" t="str">
        <f>IF(OR(Sales_data!D47="TAMILNADU",Sales_data!D47="KERALA"),"IMPORTANT","OTHER STATE")</f>
        <v>IMPORTANT</v>
      </c>
      <c r="K47" s="31" t="str">
        <f>IF(OR(Sales_data!G47&gt;50000,Sales_data!I47&gt;7000),"TOP","NORMAL")</f>
        <v>NORMAL</v>
      </c>
      <c r="L47" s="31" t="b">
        <f>IF(OR(AND(Sales_data!G47&gt;40000,Sales_data!I47&gt;6000),Sales_data!H47&gt;=10),"HIGH PRIORITY")</f>
        <v>0</v>
      </c>
      <c r="N47" s="9"/>
      <c r="R47" s="48" t="str">
        <v>Karthik</v>
      </c>
    </row>
    <row r="48" spans="1:20">
      <c r="A48" s="38">
        <f>SUMIFS(Sales_data!G2:G51,Sales_data!E2:E51,"ELECTRONICS",Sales_data!D2:D51,"TAMIL NADU")</f>
        <v>432600</v>
      </c>
      <c r="D48" s="31"/>
      <c r="E48" s="31" t="str">
        <v>LOW</v>
      </c>
      <c r="F48" s="31" t="str">
        <v>LOW</v>
      </c>
      <c r="G48" s="31" t="str">
        <v>BULK</v>
      </c>
      <c r="H48" s="31" t="str">
        <f>IF(AND(Sales_data!G48&gt;30000,Sales_data!I48&gt;5000),"HIGH","NRML")</f>
        <v>NRML</v>
      </c>
      <c r="I48" s="31" t="str">
        <f>IF(AND(Sales_data!H48&gt;=5,Sales_data!I48&gt;=1000),"BEST","REGURAL")</f>
        <v>BEST</v>
      </c>
      <c r="J48" s="31" t="str">
        <f>IF(OR(Sales_data!D48="TAMILNADU",Sales_data!D48="KERALA"),"IMPORTANT","OTHER STATE")</f>
        <v>OTHER STATE</v>
      </c>
      <c r="K48" s="31" t="str">
        <f>IF(OR(Sales_data!G48&gt;50000,Sales_data!I48&gt;7000),"TOP","NORMAL")</f>
        <v>NORMAL</v>
      </c>
      <c r="L48" s="31" t="b">
        <f>IF(OR(AND(Sales_data!G48&gt;40000,Sales_data!I48&gt;6000),Sales_data!H48&gt;=10),"HIGH PRIORITY")</f>
        <v>0</v>
      </c>
      <c r="N48" s="18">
        <f>INDEX(Sales_data!G2:G51,MATCH(Sales_data!A41,Sales_data!A2:A51,0))</f>
        <v>2100</v>
      </c>
      <c r="R48" s="48" t="str">
        <v>Vimal</v>
      </c>
    </row>
    <row r="49" spans="1:18">
      <c r="A49" s="39"/>
      <c r="D49" s="31"/>
      <c r="E49" s="31" t="str">
        <v>LOW</v>
      </c>
      <c r="F49" s="31" t="str">
        <v>LOW</v>
      </c>
      <c r="G49" s="31" t="str">
        <v>BULK</v>
      </c>
      <c r="H49" s="31" t="str">
        <f>IF(AND(Sales_data!G49&gt;30000,Sales_data!I49&gt;5000),"HIGH","NRML")</f>
        <v>NRML</v>
      </c>
      <c r="I49" s="31" t="str">
        <f>IF(AND(Sales_data!H49&gt;=5,Sales_data!I49&gt;=1000),"BEST","REGURAL")</f>
        <v>REGURAL</v>
      </c>
      <c r="J49" s="31" t="str">
        <f>IF(OR(Sales_data!D49="TAMILNADU",Sales_data!D49="KERALA"),"IMPORTANT","OTHER STATE")</f>
        <v>OTHER STATE</v>
      </c>
      <c r="K49" s="31" t="str">
        <f>IF(OR(Sales_data!G49&gt;50000,Sales_data!I49&gt;7000),"TOP","NORMAL")</f>
        <v>NORMAL</v>
      </c>
      <c r="L49" s="31" t="str">
        <f>IF(OR(AND(Sales_data!G49&gt;40000,Sales_data!I49&gt;6000),Sales_data!H49&gt;=10),"HIGH PRIORITY")</f>
        <v>HIGH PRIORITY</v>
      </c>
      <c r="N49" s="9"/>
      <c r="R49" s="48" t="str">
        <v>Ravi</v>
      </c>
    </row>
    <row r="50" spans="1:18">
      <c r="A50" s="39"/>
      <c r="D50" s="31"/>
      <c r="E50" s="31" t="str">
        <v>HIGH PROFIT</v>
      </c>
      <c r="F50" s="31" t="str">
        <v>GOOD SALES</v>
      </c>
      <c r="G50" s="31" t="str">
        <v>NORMAL</v>
      </c>
      <c r="H50" s="31" t="str">
        <f>IF(AND(Sales_data!G50&gt;30000,Sales_data!I50&gt;5000),"HIGH","NRML")</f>
        <v>HIGH</v>
      </c>
      <c r="I50" s="31" t="str">
        <f>IF(AND(Sales_data!H50&gt;=5,Sales_data!I50&gt;=1000),"BEST","REGURAL")</f>
        <v>REGURAL</v>
      </c>
      <c r="J50" s="31" t="str">
        <f>IF(OR(Sales_data!D50="TAMILNADU",Sales_data!D50="KERALA"),"IMPORTANT","OTHER STATE")</f>
        <v>OTHER STATE</v>
      </c>
      <c r="K50" s="31" t="str">
        <f>IF(OR(Sales_data!G50&gt;50000,Sales_data!I50&gt;7000),"TOP","NORMAL")</f>
        <v>NORMAL</v>
      </c>
      <c r="L50" s="31" t="str">
        <f>IF(OR(AND(Sales_data!G50&gt;40000,Sales_data!I50&gt;6000),Sales_data!H50&gt;=10),"HIGH PRIORITY")</f>
        <v>HIGH PRIORITY</v>
      </c>
      <c r="N50" s="9" t="s">
        <v>195</v>
      </c>
      <c r="R50" s="48" t="str">
        <v>Suresh</v>
      </c>
    </row>
    <row r="51" spans="1:18">
      <c r="A51" s="38" t="s">
        <v>196</v>
      </c>
      <c r="D51" s="31"/>
      <c r="E51" s="31" t="str">
        <v>HIGH PROFIT</v>
      </c>
      <c r="F51" s="31" t="str">
        <v>LOW</v>
      </c>
      <c r="G51" s="31" t="str">
        <v>BULK</v>
      </c>
      <c r="H51" s="31" t="str">
        <f>IF(AND(Sales_data!G51&gt;30000,Sales_data!I51&gt;5000),"HIGH","NRML")</f>
        <v>NRML</v>
      </c>
      <c r="I51" s="31" t="str">
        <f>IF(AND(Sales_data!H51&gt;=5,Sales_data!I51&gt;=1000),"BEST","REGURAL")</f>
        <v>BEST</v>
      </c>
      <c r="J51" s="31" t="str">
        <f>IF(OR(Sales_data!D51="TAMILNADU",Sales_data!D51="KERALA"),"IMPORTANT","OTHER STATE")</f>
        <v>IMPORTANT</v>
      </c>
      <c r="K51" s="31" t="str">
        <f>IF(OR(Sales_data!G51&gt;50000,Sales_data!I51&gt;7000),"TOP","NORMAL")</f>
        <v>NORMAL</v>
      </c>
      <c r="L51" s="31" t="b">
        <f>IF(OR(AND(Sales_data!G51&gt;40000,Sales_data!I51&gt;6000),Sales_data!H51&gt;=10),"HIGH PRIORITY")</f>
        <v>0</v>
      </c>
      <c r="N51" s="18">
        <f>INDEX(Sales_data!I2:I51,MATCH(Sales_data!A16,Sales_data!A2:A51,0))</f>
        <v>640</v>
      </c>
      <c r="R51" s="48" t="str">
        <v>Arun</v>
      </c>
    </row>
    <row r="52" spans="1:18">
      <c r="A52" s="38">
        <f>SUMIFS(Sales_data!I2:I51,Sales_data!E2:E51,"FURNITURE",Sales_data!D2:D51,"KERALA")</f>
        <v>56000</v>
      </c>
      <c r="D52" s="31"/>
      <c r="E52" s="31"/>
      <c r="F52" s="31"/>
      <c r="G52" s="31"/>
      <c r="H52" s="31"/>
      <c r="I52" s="31"/>
      <c r="J52" s="31"/>
      <c r="K52" s="31"/>
      <c r="L52" s="31"/>
      <c r="N52" s="9"/>
      <c r="R52" s="48" t="str">
        <v>Karthik</v>
      </c>
    </row>
    <row r="53" spans="1:18">
      <c r="A53" s="39"/>
      <c r="D53" s="10"/>
      <c r="N53" s="9" t="s">
        <v>197</v>
      </c>
      <c r="R53" s="48" t="str">
        <v>Vimal</v>
      </c>
    </row>
    <row r="54" spans="1:18">
      <c r="A54" s="39"/>
      <c r="D54" s="2"/>
      <c r="E54" s="14"/>
      <c r="F54" s="14" t="s">
        <v>13</v>
      </c>
      <c r="G54" s="14" t="s">
        <v>22</v>
      </c>
      <c r="H54" s="14" t="s">
        <v>30</v>
      </c>
      <c r="I54" s="14" t="s">
        <v>36</v>
      </c>
      <c r="N54" s="9"/>
      <c r="R54" s="48" t="str">
        <v>Ravi</v>
      </c>
    </row>
    <row r="55" spans="1:18" ht="18">
      <c r="A55" s="37" t="s">
        <v>198</v>
      </c>
      <c r="E55" s="14" t="s">
        <v>199</v>
      </c>
      <c r="F55" s="15">
        <v>55000</v>
      </c>
      <c r="G55" s="15">
        <v>25000</v>
      </c>
      <c r="H55" s="15">
        <v>800</v>
      </c>
      <c r="I55" s="15">
        <v>1500</v>
      </c>
      <c r="N55" s="18" t="str">
        <f>INDEX(Sales_data!F2:F51,MATCH(Sales_data!A33,Sales_data!A2:A51,0))</f>
        <v>Pen</v>
      </c>
      <c r="R55" s="48" t="str">
        <v>Suresh</v>
      </c>
    </row>
    <row r="56" spans="1:18">
      <c r="A56" s="38" t="s">
        <v>200</v>
      </c>
      <c r="D56" s="11"/>
      <c r="E56" s="14" t="s">
        <v>7</v>
      </c>
      <c r="F56" s="15">
        <v>2</v>
      </c>
      <c r="G56" s="15">
        <v>5</v>
      </c>
      <c r="H56" s="15">
        <v>10</v>
      </c>
      <c r="I56" s="15">
        <v>6</v>
      </c>
      <c r="N56" s="9"/>
      <c r="R56" s="44"/>
    </row>
    <row r="57" spans="1:18">
      <c r="A57" s="38">
        <f>COUNTIFS(Sales_data!E2:E51,"ELECTRONICS")</f>
        <v>25</v>
      </c>
      <c r="E57" s="14" t="s">
        <v>8</v>
      </c>
      <c r="F57" s="15">
        <v>7000</v>
      </c>
      <c r="G57" s="15">
        <v>5000</v>
      </c>
      <c r="H57" s="15">
        <v>200</v>
      </c>
      <c r="I57" s="15">
        <v>300</v>
      </c>
      <c r="R57" s="44" t="s">
        <v>201</v>
      </c>
    </row>
    <row r="58" spans="1:18">
      <c r="A58" s="39"/>
      <c r="R58" s="47" t="s">
        <v>202</v>
      </c>
    </row>
    <row r="59" spans="1:18">
      <c r="A59" s="39"/>
      <c r="R59" s="48" t="str" cm="1">
        <f t="array" ref="R59:R62">_xlfn._xlws.FILTER(Sales_data!F2:F51,Sales_data!G2:G51 &gt;50000)</f>
        <v>Laptop</v>
      </c>
    </row>
    <row r="60" spans="1:18">
      <c r="A60" s="38" t="s">
        <v>203</v>
      </c>
      <c r="R60" s="48" t="str">
        <v>Laptop</v>
      </c>
    </row>
    <row r="61" spans="1:18" ht="45.75">
      <c r="A61" s="40" t="s">
        <v>204</v>
      </c>
      <c r="D61" s="11"/>
      <c r="R61" s="48" t="str">
        <v>Laptop</v>
      </c>
    </row>
    <row r="62" spans="1:18">
      <c r="A62" s="39"/>
      <c r="R62" s="48" t="str">
        <v>Laptop</v>
      </c>
    </row>
    <row r="63" spans="1:18">
      <c r="A63" s="38">
        <f>COUNTIFS(Sales_data!D2:D51,"KERALA",Sales_data!E2:E51,"FURNITURE",Sales_data!H2:H51,"&gt;3")</f>
        <v>5</v>
      </c>
      <c r="R63" s="44"/>
    </row>
    <row r="64" spans="1:18" ht="18">
      <c r="A64" s="37" t="s">
        <v>205</v>
      </c>
      <c r="R64" s="44" t="s">
        <v>206</v>
      </c>
    </row>
    <row r="65" spans="1:18">
      <c r="A65" s="41" t="s">
        <v>207</v>
      </c>
      <c r="R65" s="48" t="str" cm="1">
        <f t="array" ref="R65:R97">_xlfn._xlws.FILTER(Sales_data!C2:C51,Sales_data!I2:I51&lt;5000)</f>
        <v>Priya</v>
      </c>
    </row>
    <row r="66" spans="1:18">
      <c r="A66" s="38">
        <f>AVERAGEIF(Sales_data!E2:E51,"ELECTRONICS",Sales_data!G2:G51)</f>
        <v>30620</v>
      </c>
      <c r="D66" s="11"/>
      <c r="R66" s="48" t="str">
        <v>Ravi</v>
      </c>
    </row>
    <row r="67" spans="1:18">
      <c r="A67" s="42" t="s">
        <v>208</v>
      </c>
      <c r="R67" s="48" t="str">
        <v>Divya</v>
      </c>
    </row>
    <row r="68" spans="1:18" ht="18">
      <c r="A68" s="38">
        <f>AVERAGEIF(Sales_data!E2:E51,"FURNITURE",Sales_data!I2:I51)</f>
        <v>4307.6923076923076</v>
      </c>
      <c r="D68" s="4"/>
      <c r="R68" s="48" t="str">
        <v>Karthik</v>
      </c>
    </row>
    <row r="69" spans="1:18">
      <c r="A69" s="39"/>
      <c r="D69" s="11"/>
      <c r="R69" s="48" t="str">
        <v>Meena</v>
      </c>
    </row>
    <row r="70" spans="1:18" ht="18">
      <c r="D70" s="4"/>
      <c r="R70" s="48" t="str">
        <v>Suresh</v>
      </c>
    </row>
    <row r="71" spans="1:18">
      <c r="A71" s="2"/>
      <c r="D71" s="11"/>
      <c r="R71" s="48" t="str">
        <v>Anitha</v>
      </c>
    </row>
    <row r="72" spans="1:18">
      <c r="R72" s="48" t="str">
        <v>Vimal</v>
      </c>
    </row>
    <row r="73" spans="1:18">
      <c r="R73" s="48" t="str">
        <v>Kavya</v>
      </c>
    </row>
    <row r="74" spans="1:18" ht="18">
      <c r="A74" s="4"/>
      <c r="D74" s="4"/>
      <c r="F74" s="2"/>
      <c r="G74" s="2"/>
      <c r="H74" s="2"/>
      <c r="I74" s="2"/>
      <c r="J74" s="2"/>
      <c r="R74" s="48" t="str">
        <v>Priya</v>
      </c>
    </row>
    <row r="75" spans="1:18" ht="18">
      <c r="A75" s="2"/>
      <c r="D75" s="4"/>
      <c r="F75" s="2"/>
      <c r="R75" s="48" t="str">
        <v>Divya</v>
      </c>
    </row>
    <row r="76" spans="1:18" ht="18">
      <c r="D76" s="12"/>
      <c r="F76" s="2"/>
      <c r="R76" s="48" t="str">
        <v>Karthik</v>
      </c>
    </row>
    <row r="77" spans="1:18">
      <c r="F77" s="2"/>
      <c r="R77" s="48" t="str">
        <v>Meena</v>
      </c>
    </row>
    <row r="78" spans="1:18">
      <c r="B78" s="3"/>
      <c r="C78" s="3"/>
      <c r="D78" s="7"/>
      <c r="R78" s="48" t="str">
        <v>Suresh</v>
      </c>
    </row>
    <row r="79" spans="1:18">
      <c r="A79" s="2"/>
      <c r="D79" s="11"/>
      <c r="R79" s="48" t="str">
        <v>Anitha</v>
      </c>
    </row>
    <row r="80" spans="1:18">
      <c r="R80" s="48" t="str">
        <v>Kavya</v>
      </c>
    </row>
    <row r="81" spans="1:18">
      <c r="D81" s="8"/>
      <c r="R81" s="48" t="str">
        <v>Priya</v>
      </c>
    </row>
    <row r="82" spans="1:18">
      <c r="D82" s="11"/>
      <c r="R82" s="48" t="str">
        <v>Divya</v>
      </c>
    </row>
    <row r="83" spans="1:18" ht="18">
      <c r="A83" s="4"/>
      <c r="R83" s="48" t="str">
        <v>Karthik</v>
      </c>
    </row>
    <row r="84" spans="1:18">
      <c r="A84" s="2"/>
      <c r="D84" s="11"/>
      <c r="R84" s="48" t="str">
        <v>Meena</v>
      </c>
    </row>
    <row r="85" spans="1:18">
      <c r="D85" s="8"/>
      <c r="R85" s="48" t="str">
        <v>Suresh</v>
      </c>
    </row>
    <row r="86" spans="1:18">
      <c r="D86" s="13"/>
      <c r="R86" s="48" t="str">
        <v>Anitha</v>
      </c>
    </row>
    <row r="87" spans="1:18">
      <c r="R87" s="48" t="str">
        <v>Priya</v>
      </c>
    </row>
    <row r="88" spans="1:18">
      <c r="A88" s="2"/>
      <c r="R88" s="48" t="str">
        <v>Divya</v>
      </c>
    </row>
    <row r="89" spans="1:18">
      <c r="R89" s="48" t="str">
        <v>Karthik</v>
      </c>
    </row>
    <row r="90" spans="1:18">
      <c r="D90" s="11"/>
      <c r="R90" s="48" t="str">
        <v>Meena</v>
      </c>
    </row>
    <row r="91" spans="1:18">
      <c r="R91" s="48" t="str">
        <v>Suresh</v>
      </c>
    </row>
    <row r="92" spans="1:18" ht="18">
      <c r="A92" s="4"/>
      <c r="R92" s="48" t="str">
        <v>Anitha</v>
      </c>
    </row>
    <row r="93" spans="1:18">
      <c r="A93" s="2"/>
      <c r="R93" s="48" t="str">
        <v>Kavya</v>
      </c>
    </row>
    <row r="94" spans="1:18">
      <c r="A94" s="2"/>
      <c r="D94" s="11"/>
      <c r="R94" s="48" t="str">
        <v>Divya</v>
      </c>
    </row>
    <row r="95" spans="1:18">
      <c r="R95" s="48" t="str">
        <v>Karthik</v>
      </c>
    </row>
    <row r="96" spans="1:18">
      <c r="D96" s="11"/>
      <c r="R96" s="48" t="str">
        <v>Suresh</v>
      </c>
    </row>
    <row r="97" spans="4:18">
      <c r="D97" s="11"/>
      <c r="R97" s="48" t="str">
        <v>Anitha</v>
      </c>
    </row>
    <row r="101" spans="4:18">
      <c r="D10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5AB7-2117-4B19-81B2-120B23A2E978}">
  <dimension ref="A3:M19"/>
  <sheetViews>
    <sheetView workbookViewId="0">
      <selection activeCell="J19" sqref="J19"/>
    </sheetView>
  </sheetViews>
  <sheetFormatPr defaultRowHeight="15"/>
  <cols>
    <col min="1" max="2" width="12.140625" bestFit="1" customWidth="1"/>
  </cols>
  <sheetData>
    <row r="3" spans="1:2">
      <c r="A3" s="53" t="s">
        <v>4</v>
      </c>
      <c r="B3" t="s">
        <v>209</v>
      </c>
    </row>
    <row r="4" spans="1:2">
      <c r="A4" t="s">
        <v>12</v>
      </c>
      <c r="B4" s="54">
        <v>765500</v>
      </c>
    </row>
    <row r="5" spans="1:2">
      <c r="A5" t="s">
        <v>17</v>
      </c>
      <c r="B5" s="54">
        <v>280000</v>
      </c>
    </row>
    <row r="6" spans="1:2">
      <c r="A6" t="s">
        <v>26</v>
      </c>
      <c r="B6" s="54">
        <v>29100</v>
      </c>
    </row>
    <row r="7" spans="1:2">
      <c r="A7" t="s">
        <v>210</v>
      </c>
      <c r="B7" s="54">
        <v>1074600</v>
      </c>
    </row>
    <row r="10" spans="1:2">
      <c r="A10" s="56" t="s">
        <v>211</v>
      </c>
    </row>
    <row r="19" spans="7:13">
      <c r="G19" s="56" t="s">
        <v>212</v>
      </c>
      <c r="M19" s="56" t="s">
        <v>213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414C-FB47-466D-BC50-EF15539217CB}">
  <dimension ref="A3:L18"/>
  <sheetViews>
    <sheetView workbookViewId="0">
      <selection activeCell="L19" sqref="L19"/>
    </sheetView>
  </sheetViews>
  <sheetFormatPr defaultRowHeight="15"/>
  <cols>
    <col min="1" max="1" width="12.28515625" bestFit="1" customWidth="1"/>
    <col min="2" max="2" width="12.85546875" bestFit="1" customWidth="1"/>
  </cols>
  <sheetData>
    <row r="3" spans="1:2">
      <c r="A3" s="53" t="s">
        <v>4</v>
      </c>
      <c r="B3" t="s">
        <v>214</v>
      </c>
    </row>
    <row r="4" spans="1:2">
      <c r="A4" t="s">
        <v>12</v>
      </c>
      <c r="B4" s="54">
        <v>111700</v>
      </c>
    </row>
    <row r="5" spans="1:2">
      <c r="A5" t="s">
        <v>17</v>
      </c>
      <c r="B5" s="54">
        <v>56000</v>
      </c>
    </row>
    <row r="6" spans="1:2">
      <c r="A6" t="s">
        <v>26</v>
      </c>
      <c r="B6" s="54">
        <v>5820</v>
      </c>
    </row>
    <row r="7" spans="1:2">
      <c r="A7" t="s">
        <v>210</v>
      </c>
      <c r="B7" s="54">
        <v>173520</v>
      </c>
    </row>
    <row r="10" spans="1:2">
      <c r="A10" s="57" t="s">
        <v>211</v>
      </c>
    </row>
    <row r="18" spans="6:12">
      <c r="F18" s="57" t="s">
        <v>212</v>
      </c>
      <c r="L18" s="57" t="s">
        <v>215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A907-6D20-450E-B897-4967C22C5B40}">
  <dimension ref="A3:O18"/>
  <sheetViews>
    <sheetView workbookViewId="0">
      <selection activeCell="A3" sqref="A3:B9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53" t="s">
        <v>3</v>
      </c>
      <c r="B3" t="s">
        <v>209</v>
      </c>
    </row>
    <row r="4" spans="1:2">
      <c r="A4" t="s">
        <v>21</v>
      </c>
      <c r="B4" s="54">
        <v>332900</v>
      </c>
    </row>
    <row r="5" spans="1:2">
      <c r="A5" t="s">
        <v>16</v>
      </c>
      <c r="B5" s="54">
        <v>280000</v>
      </c>
    </row>
    <row r="6" spans="1:2">
      <c r="A6" t="s">
        <v>11</v>
      </c>
      <c r="B6" s="54">
        <v>432600</v>
      </c>
    </row>
    <row r="7" spans="1:2">
      <c r="A7" t="s">
        <v>25</v>
      </c>
      <c r="B7" s="54">
        <v>29100</v>
      </c>
    </row>
    <row r="8" spans="1:2">
      <c r="A8" t="s">
        <v>216</v>
      </c>
      <c r="B8" s="54"/>
    </row>
    <row r="9" spans="1:2">
      <c r="A9" t="s">
        <v>210</v>
      </c>
      <c r="B9" s="54">
        <v>1074600</v>
      </c>
    </row>
    <row r="11" spans="1:2">
      <c r="A11" s="56" t="s">
        <v>211</v>
      </c>
    </row>
    <row r="17" spans="8:15">
      <c r="O17" s="56" t="s">
        <v>215</v>
      </c>
    </row>
    <row r="18" spans="8:15">
      <c r="H18" s="56" t="s">
        <v>212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E206-6E7F-4A01-9668-702269FCD914}">
  <dimension ref="A3:N21"/>
  <sheetViews>
    <sheetView workbookViewId="0">
      <selection activeCell="N19" sqref="N19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53" t="s">
        <v>5</v>
      </c>
      <c r="B3" t="s">
        <v>209</v>
      </c>
    </row>
    <row r="4" spans="1:2">
      <c r="A4" t="s">
        <v>13</v>
      </c>
      <c r="B4" s="54">
        <v>330000</v>
      </c>
    </row>
    <row r="5" spans="1:2">
      <c r="A5" t="s">
        <v>22</v>
      </c>
      <c r="B5" s="54">
        <v>200000</v>
      </c>
    </row>
    <row r="6" spans="1:2">
      <c r="A6" t="s">
        <v>42</v>
      </c>
      <c r="B6" s="54">
        <v>188000</v>
      </c>
    </row>
    <row r="7" spans="1:2">
      <c r="A7" t="s">
        <v>18</v>
      </c>
      <c r="B7" s="54">
        <v>100000</v>
      </c>
    </row>
    <row r="8" spans="1:2">
      <c r="A8" t="s">
        <v>33</v>
      </c>
      <c r="B8" s="54">
        <v>99000</v>
      </c>
    </row>
    <row r="9" spans="1:2">
      <c r="A9" t="s">
        <v>45</v>
      </c>
      <c r="B9" s="54">
        <v>81000</v>
      </c>
    </row>
    <row r="10" spans="1:2">
      <c r="A10" t="s">
        <v>36</v>
      </c>
      <c r="B10" s="54">
        <v>31500</v>
      </c>
    </row>
    <row r="11" spans="1:2">
      <c r="A11" t="s">
        <v>27</v>
      </c>
      <c r="B11" s="54">
        <v>17200</v>
      </c>
    </row>
    <row r="12" spans="1:2">
      <c r="A12" t="s">
        <v>30</v>
      </c>
      <c r="B12" s="54">
        <v>16000</v>
      </c>
    </row>
    <row r="13" spans="1:2">
      <c r="A13" t="s">
        <v>39</v>
      </c>
      <c r="B13" s="54">
        <v>11900</v>
      </c>
    </row>
    <row r="14" spans="1:2">
      <c r="A14" t="s">
        <v>210</v>
      </c>
      <c r="B14" s="54">
        <v>1074600</v>
      </c>
    </row>
    <row r="17" spans="1:14">
      <c r="A17" s="57" t="s">
        <v>211</v>
      </c>
    </row>
    <row r="19" spans="1:14">
      <c r="N19" s="57" t="s">
        <v>215</v>
      </c>
    </row>
    <row r="21" spans="1:14">
      <c r="H21" s="57" t="s">
        <v>212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EEF9-951D-43D4-B409-C11945BB6D26}">
  <dimension ref="A3:O21"/>
  <sheetViews>
    <sheetView workbookViewId="0">
      <selection activeCell="O18" sqref="O18"/>
    </sheetView>
  </sheetViews>
  <sheetFormatPr defaultRowHeight="15"/>
  <cols>
    <col min="1" max="1" width="12.28515625" bestFit="1" customWidth="1"/>
    <col min="2" max="2" width="12.42578125" bestFit="1" customWidth="1"/>
    <col min="3" max="3" width="12.85546875" bestFit="1" customWidth="1"/>
  </cols>
  <sheetData>
    <row r="3" spans="1:3">
      <c r="A3" s="53" t="s">
        <v>4</v>
      </c>
      <c r="B3" t="s">
        <v>209</v>
      </c>
      <c r="C3" t="s">
        <v>214</v>
      </c>
    </row>
    <row r="4" spans="1:3">
      <c r="A4" t="s">
        <v>12</v>
      </c>
      <c r="B4" s="54">
        <v>765500</v>
      </c>
      <c r="C4" s="54">
        <v>111700</v>
      </c>
    </row>
    <row r="5" spans="1:3">
      <c r="A5" t="s">
        <v>17</v>
      </c>
      <c r="B5" s="54">
        <v>280000</v>
      </c>
      <c r="C5" s="54">
        <v>56000</v>
      </c>
    </row>
    <row r="6" spans="1:3">
      <c r="A6" t="s">
        <v>26</v>
      </c>
      <c r="B6" s="54">
        <v>29100</v>
      </c>
      <c r="C6" s="54">
        <v>5820</v>
      </c>
    </row>
    <row r="7" spans="1:3">
      <c r="A7" t="s">
        <v>210</v>
      </c>
      <c r="B7" s="54">
        <v>1074600</v>
      </c>
      <c r="C7" s="54">
        <v>173520</v>
      </c>
    </row>
    <row r="11" spans="1:3">
      <c r="A11" s="57" t="s">
        <v>211</v>
      </c>
    </row>
    <row r="18" spans="8:15">
      <c r="O18" s="57" t="s">
        <v>215</v>
      </c>
    </row>
    <row r="21" spans="8:15">
      <c r="H21" s="57" t="s">
        <v>212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9921-D344-49F4-9026-069924B9E776}">
  <dimension ref="A1:L51"/>
  <sheetViews>
    <sheetView workbookViewId="0">
      <selection activeCell="K16" sqref="K16"/>
    </sheetView>
  </sheetViews>
  <sheetFormatPr defaultRowHeight="15"/>
  <cols>
    <col min="11" max="11" width="36.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>
      <c r="A2" t="s">
        <v>9</v>
      </c>
      <c r="B2" s="1">
        <v>46027</v>
      </c>
      <c r="C2" t="s">
        <v>10</v>
      </c>
      <c r="D2" t="s">
        <v>11</v>
      </c>
      <c r="E2" t="s">
        <v>12</v>
      </c>
      <c r="F2" t="s">
        <v>13</v>
      </c>
      <c r="G2">
        <v>55000</v>
      </c>
      <c r="H2">
        <v>2</v>
      </c>
      <c r="I2">
        <v>7000</v>
      </c>
      <c r="K2" s="59" t="s">
        <v>217</v>
      </c>
      <c r="L2" s="58"/>
    </row>
    <row r="3" spans="1:12">
      <c r="A3" t="s">
        <v>14</v>
      </c>
      <c r="B3" s="1">
        <v>46029</v>
      </c>
      <c r="C3" t="s">
        <v>15</v>
      </c>
      <c r="D3" t="s">
        <v>16</v>
      </c>
      <c r="E3" t="s">
        <v>17</v>
      </c>
      <c r="F3" t="s">
        <v>18</v>
      </c>
      <c r="G3">
        <v>12000</v>
      </c>
      <c r="H3">
        <v>3</v>
      </c>
      <c r="I3">
        <v>2400</v>
      </c>
      <c r="K3" s="59" t="s">
        <v>218</v>
      </c>
      <c r="L3" s="18"/>
    </row>
    <row r="4" spans="1:12">
      <c r="A4" t="s">
        <v>19</v>
      </c>
      <c r="B4" s="1">
        <v>46032</v>
      </c>
      <c r="C4" t="s">
        <v>20</v>
      </c>
      <c r="D4" t="s">
        <v>21</v>
      </c>
      <c r="E4" t="s">
        <v>12</v>
      </c>
      <c r="F4" t="s">
        <v>22</v>
      </c>
      <c r="G4">
        <v>30000</v>
      </c>
      <c r="H4">
        <v>3</v>
      </c>
      <c r="I4">
        <v>4500</v>
      </c>
      <c r="K4" s="59" t="s">
        <v>219</v>
      </c>
      <c r="L4" s="60"/>
    </row>
    <row r="5" spans="1:12">
      <c r="A5" t="s">
        <v>23</v>
      </c>
      <c r="B5" s="1">
        <v>46035</v>
      </c>
      <c r="C5" t="s">
        <v>24</v>
      </c>
      <c r="D5" t="s">
        <v>25</v>
      </c>
      <c r="E5" t="s">
        <v>26</v>
      </c>
      <c r="F5" t="s">
        <v>27</v>
      </c>
      <c r="G5">
        <v>2500</v>
      </c>
      <c r="H5">
        <v>10</v>
      </c>
      <c r="I5">
        <v>500</v>
      </c>
      <c r="K5" s="59" t="s">
        <v>220</v>
      </c>
    </row>
    <row r="6" spans="1:12">
      <c r="A6" t="s">
        <v>28</v>
      </c>
      <c r="B6" s="1">
        <v>46038</v>
      </c>
      <c r="C6" t="s">
        <v>29</v>
      </c>
      <c r="D6" t="s">
        <v>11</v>
      </c>
      <c r="E6" t="s">
        <v>12</v>
      </c>
      <c r="F6" t="s">
        <v>30</v>
      </c>
      <c r="G6">
        <v>2400</v>
      </c>
      <c r="H6">
        <v>6</v>
      </c>
      <c r="I6">
        <v>480</v>
      </c>
      <c r="K6" s="59" t="s">
        <v>221</v>
      </c>
    </row>
    <row r="7" spans="1:12">
      <c r="A7" t="s">
        <v>31</v>
      </c>
      <c r="B7" s="1">
        <v>46042</v>
      </c>
      <c r="C7" t="s">
        <v>32</v>
      </c>
      <c r="D7" t="s">
        <v>16</v>
      </c>
      <c r="E7" t="s">
        <v>17</v>
      </c>
      <c r="F7" t="s">
        <v>33</v>
      </c>
      <c r="G7">
        <v>18000</v>
      </c>
      <c r="H7">
        <v>2</v>
      </c>
      <c r="I7">
        <v>3600</v>
      </c>
      <c r="K7" s="59" t="s">
        <v>222</v>
      </c>
    </row>
    <row r="8" spans="1:12">
      <c r="A8" t="s">
        <v>34</v>
      </c>
      <c r="B8" s="1">
        <v>46045</v>
      </c>
      <c r="C8" t="s">
        <v>35</v>
      </c>
      <c r="D8" t="s">
        <v>21</v>
      </c>
      <c r="E8" t="s">
        <v>12</v>
      </c>
      <c r="F8" t="s">
        <v>36</v>
      </c>
      <c r="G8">
        <v>4500</v>
      </c>
      <c r="H8">
        <v>5</v>
      </c>
      <c r="I8">
        <v>900</v>
      </c>
    </row>
    <row r="9" spans="1:12">
      <c r="A9" t="s">
        <v>37</v>
      </c>
      <c r="B9" s="1">
        <v>46049</v>
      </c>
      <c r="C9" t="s">
        <v>38</v>
      </c>
      <c r="D9" t="s">
        <v>25</v>
      </c>
      <c r="E9" t="s">
        <v>26</v>
      </c>
      <c r="F9" t="s">
        <v>39</v>
      </c>
      <c r="G9">
        <v>1200</v>
      </c>
      <c r="H9">
        <v>20</v>
      </c>
      <c r="I9">
        <v>240</v>
      </c>
    </row>
    <row r="10" spans="1:12">
      <c r="A10" t="s">
        <v>40</v>
      </c>
      <c r="B10" s="1">
        <v>46055</v>
      </c>
      <c r="C10" t="s">
        <v>41</v>
      </c>
      <c r="D10" t="s">
        <v>11</v>
      </c>
      <c r="E10" t="s">
        <v>12</v>
      </c>
      <c r="F10" t="s">
        <v>42</v>
      </c>
      <c r="G10">
        <v>28000</v>
      </c>
      <c r="H10">
        <v>2</v>
      </c>
      <c r="I10">
        <v>4200</v>
      </c>
    </row>
    <row r="11" spans="1:12">
      <c r="A11" t="s">
        <v>43</v>
      </c>
      <c r="B11" s="1">
        <v>46058</v>
      </c>
      <c r="C11" t="s">
        <v>44</v>
      </c>
      <c r="D11" t="s">
        <v>16</v>
      </c>
      <c r="E11" t="s">
        <v>17</v>
      </c>
      <c r="F11" t="s">
        <v>45</v>
      </c>
      <c r="G11">
        <v>15000</v>
      </c>
      <c r="H11">
        <v>2</v>
      </c>
      <c r="I11">
        <v>3000</v>
      </c>
    </row>
    <row r="12" spans="1:12">
      <c r="A12" t="s">
        <v>46</v>
      </c>
      <c r="B12" s="1">
        <v>46061</v>
      </c>
      <c r="C12" t="s">
        <v>10</v>
      </c>
      <c r="D12" t="s">
        <v>21</v>
      </c>
      <c r="E12" t="s">
        <v>12</v>
      </c>
      <c r="F12" t="s">
        <v>13</v>
      </c>
      <c r="G12">
        <v>60000</v>
      </c>
      <c r="H12">
        <v>2</v>
      </c>
      <c r="I12">
        <v>8000</v>
      </c>
    </row>
    <row r="13" spans="1:12">
      <c r="A13" t="s">
        <v>47</v>
      </c>
      <c r="B13" s="1">
        <v>46065</v>
      </c>
      <c r="C13" t="s">
        <v>15</v>
      </c>
      <c r="D13" t="s">
        <v>25</v>
      </c>
      <c r="E13" t="s">
        <v>26</v>
      </c>
      <c r="F13" t="s">
        <v>27</v>
      </c>
      <c r="G13">
        <v>3000</v>
      </c>
      <c r="H13">
        <v>12</v>
      </c>
      <c r="I13">
        <v>600</v>
      </c>
    </row>
    <row r="14" spans="1:12">
      <c r="A14" t="s">
        <v>48</v>
      </c>
      <c r="B14" s="1">
        <v>46068</v>
      </c>
      <c r="C14" t="s">
        <v>20</v>
      </c>
      <c r="D14" t="s">
        <v>11</v>
      </c>
      <c r="E14" t="s">
        <v>12</v>
      </c>
      <c r="F14" t="s">
        <v>22</v>
      </c>
      <c r="G14">
        <v>40000</v>
      </c>
      <c r="H14">
        <v>4</v>
      </c>
      <c r="I14">
        <v>6000</v>
      </c>
    </row>
    <row r="15" spans="1:12">
      <c r="A15" t="s">
        <v>49</v>
      </c>
      <c r="B15" s="1">
        <v>46071</v>
      </c>
      <c r="C15" t="s">
        <v>24</v>
      </c>
      <c r="D15" t="s">
        <v>16</v>
      </c>
      <c r="E15" t="s">
        <v>17</v>
      </c>
      <c r="F15" t="s">
        <v>18</v>
      </c>
      <c r="G15">
        <v>16000</v>
      </c>
      <c r="H15">
        <v>4</v>
      </c>
      <c r="I15">
        <v>3200</v>
      </c>
    </row>
    <row r="16" spans="1:12">
      <c r="A16" t="s">
        <v>50</v>
      </c>
      <c r="B16" s="1">
        <v>46074</v>
      </c>
      <c r="C16" t="s">
        <v>29</v>
      </c>
      <c r="D16" t="s">
        <v>21</v>
      </c>
      <c r="E16" t="s">
        <v>12</v>
      </c>
      <c r="F16" t="s">
        <v>30</v>
      </c>
      <c r="G16">
        <v>3200</v>
      </c>
      <c r="H16">
        <v>8</v>
      </c>
      <c r="I16">
        <v>640</v>
      </c>
    </row>
    <row r="17" spans="1:9">
      <c r="A17" t="s">
        <v>51</v>
      </c>
      <c r="B17" s="1">
        <v>46078</v>
      </c>
      <c r="C17" t="s">
        <v>32</v>
      </c>
      <c r="D17" t="s">
        <v>25</v>
      </c>
      <c r="E17" t="s">
        <v>26</v>
      </c>
      <c r="F17" t="s">
        <v>39</v>
      </c>
      <c r="G17">
        <v>1800</v>
      </c>
      <c r="H17">
        <v>30</v>
      </c>
      <c r="I17">
        <v>360</v>
      </c>
    </row>
    <row r="18" spans="1:9">
      <c r="A18" t="s">
        <v>52</v>
      </c>
      <c r="B18" s="1">
        <v>46082</v>
      </c>
      <c r="C18" t="s">
        <v>35</v>
      </c>
      <c r="D18" t="s">
        <v>11</v>
      </c>
      <c r="E18" t="s">
        <v>12</v>
      </c>
      <c r="F18" t="s">
        <v>36</v>
      </c>
      <c r="G18">
        <v>5400</v>
      </c>
      <c r="H18">
        <v>6</v>
      </c>
      <c r="I18">
        <v>1080</v>
      </c>
    </row>
    <row r="19" spans="1:9">
      <c r="A19" t="s">
        <v>53</v>
      </c>
      <c r="B19" s="1">
        <v>46085</v>
      </c>
      <c r="C19" t="s">
        <v>38</v>
      </c>
      <c r="D19" t="s">
        <v>16</v>
      </c>
      <c r="E19" t="s">
        <v>17</v>
      </c>
      <c r="F19" t="s">
        <v>33</v>
      </c>
      <c r="G19">
        <v>24000</v>
      </c>
      <c r="H19">
        <v>3</v>
      </c>
      <c r="I19">
        <v>4800</v>
      </c>
    </row>
    <row r="20" spans="1:9">
      <c r="A20" t="s">
        <v>54</v>
      </c>
      <c r="B20" s="1">
        <v>46089</v>
      </c>
      <c r="C20" t="s">
        <v>41</v>
      </c>
      <c r="D20" t="s">
        <v>21</v>
      </c>
      <c r="E20" t="s">
        <v>12</v>
      </c>
      <c r="F20" t="s">
        <v>42</v>
      </c>
      <c r="G20">
        <v>35000</v>
      </c>
      <c r="H20">
        <v>2</v>
      </c>
      <c r="I20">
        <v>5250</v>
      </c>
    </row>
    <row r="21" spans="1:9">
      <c r="A21" t="s">
        <v>55</v>
      </c>
      <c r="B21" s="1">
        <v>46093</v>
      </c>
      <c r="C21" t="s">
        <v>44</v>
      </c>
      <c r="D21" t="s">
        <v>25</v>
      </c>
      <c r="E21" t="s">
        <v>26</v>
      </c>
      <c r="F21" t="s">
        <v>27</v>
      </c>
      <c r="G21">
        <v>2200</v>
      </c>
      <c r="H21">
        <v>9</v>
      </c>
      <c r="I21">
        <v>440</v>
      </c>
    </row>
    <row r="22" spans="1:9">
      <c r="A22" t="s">
        <v>56</v>
      </c>
      <c r="B22" s="1">
        <v>46096</v>
      </c>
      <c r="C22" t="s">
        <v>10</v>
      </c>
      <c r="D22" t="s">
        <v>11</v>
      </c>
      <c r="E22" t="s">
        <v>12</v>
      </c>
      <c r="F22" t="s">
        <v>13</v>
      </c>
      <c r="G22">
        <v>75000</v>
      </c>
      <c r="H22">
        <v>3</v>
      </c>
      <c r="I22">
        <v>10000</v>
      </c>
    </row>
    <row r="23" spans="1:9">
      <c r="A23" t="s">
        <v>57</v>
      </c>
      <c r="B23" s="1">
        <v>46099</v>
      </c>
      <c r="C23" t="s">
        <v>15</v>
      </c>
      <c r="D23" t="s">
        <v>16</v>
      </c>
      <c r="E23" t="s">
        <v>17</v>
      </c>
      <c r="F23" t="s">
        <v>45</v>
      </c>
      <c r="G23">
        <v>22000</v>
      </c>
      <c r="H23">
        <v>3</v>
      </c>
      <c r="I23">
        <v>4400</v>
      </c>
    </row>
    <row r="24" spans="1:9">
      <c r="A24" t="s">
        <v>58</v>
      </c>
      <c r="B24" s="1">
        <v>46102</v>
      </c>
      <c r="C24" t="s">
        <v>20</v>
      </c>
      <c r="D24" t="s">
        <v>21</v>
      </c>
      <c r="E24" t="s">
        <v>12</v>
      </c>
      <c r="F24" t="s">
        <v>22</v>
      </c>
      <c r="G24">
        <v>50000</v>
      </c>
      <c r="H24">
        <v>5</v>
      </c>
      <c r="I24">
        <v>7500</v>
      </c>
    </row>
    <row r="25" spans="1:9">
      <c r="A25" t="s">
        <v>59</v>
      </c>
      <c r="B25" s="1">
        <v>46106</v>
      </c>
      <c r="C25" t="s">
        <v>24</v>
      </c>
      <c r="D25" t="s">
        <v>25</v>
      </c>
      <c r="E25" t="s">
        <v>26</v>
      </c>
      <c r="F25" t="s">
        <v>39</v>
      </c>
      <c r="G25">
        <v>2500</v>
      </c>
      <c r="H25">
        <v>40</v>
      </c>
      <c r="I25">
        <v>500</v>
      </c>
    </row>
    <row r="26" spans="1:9">
      <c r="A26" t="s">
        <v>60</v>
      </c>
      <c r="B26" s="1">
        <v>46109</v>
      </c>
      <c r="C26" t="s">
        <v>29</v>
      </c>
      <c r="D26" t="s">
        <v>11</v>
      </c>
      <c r="E26" t="s">
        <v>12</v>
      </c>
      <c r="F26" t="s">
        <v>30</v>
      </c>
      <c r="G26">
        <v>4000</v>
      </c>
      <c r="H26">
        <v>10</v>
      </c>
      <c r="I26">
        <v>800</v>
      </c>
    </row>
    <row r="27" spans="1:9">
      <c r="A27" t="s">
        <v>61</v>
      </c>
      <c r="B27" s="1">
        <v>46114</v>
      </c>
      <c r="C27" t="s">
        <v>32</v>
      </c>
      <c r="D27" t="s">
        <v>16</v>
      </c>
      <c r="E27" t="s">
        <v>17</v>
      </c>
      <c r="F27" t="s">
        <v>18</v>
      </c>
      <c r="G27">
        <v>20000</v>
      </c>
      <c r="H27">
        <v>5</v>
      </c>
      <c r="I27">
        <v>4000</v>
      </c>
    </row>
    <row r="28" spans="1:9">
      <c r="A28" t="s">
        <v>62</v>
      </c>
      <c r="B28" s="1">
        <v>46117</v>
      </c>
      <c r="C28" t="s">
        <v>35</v>
      </c>
      <c r="D28" t="s">
        <v>21</v>
      </c>
      <c r="E28" t="s">
        <v>12</v>
      </c>
      <c r="F28" t="s">
        <v>36</v>
      </c>
      <c r="G28">
        <v>6300</v>
      </c>
      <c r="H28">
        <v>7</v>
      </c>
      <c r="I28">
        <v>1260</v>
      </c>
    </row>
    <row r="29" spans="1:9">
      <c r="A29" t="s">
        <v>63</v>
      </c>
      <c r="B29" s="1">
        <v>46121</v>
      </c>
      <c r="C29" t="s">
        <v>38</v>
      </c>
      <c r="D29" t="s">
        <v>25</v>
      </c>
      <c r="E29" t="s">
        <v>26</v>
      </c>
      <c r="F29" t="s">
        <v>27</v>
      </c>
      <c r="G29">
        <v>3500</v>
      </c>
      <c r="H29">
        <v>14</v>
      </c>
      <c r="I29">
        <v>700</v>
      </c>
    </row>
    <row r="30" spans="1:9">
      <c r="A30" t="s">
        <v>64</v>
      </c>
      <c r="B30" s="1">
        <v>46124</v>
      </c>
      <c r="C30" t="s">
        <v>41</v>
      </c>
      <c r="D30" t="s">
        <v>11</v>
      </c>
      <c r="E30" t="s">
        <v>12</v>
      </c>
      <c r="F30" t="s">
        <v>42</v>
      </c>
      <c r="G30">
        <v>42000</v>
      </c>
      <c r="H30">
        <v>3</v>
      </c>
      <c r="I30">
        <v>6300</v>
      </c>
    </row>
    <row r="31" spans="1:9">
      <c r="A31" t="s">
        <v>65</v>
      </c>
      <c r="B31" s="1">
        <v>46127</v>
      </c>
      <c r="C31" t="s">
        <v>44</v>
      </c>
      <c r="D31" t="s">
        <v>16</v>
      </c>
      <c r="E31" t="s">
        <v>17</v>
      </c>
      <c r="F31" t="s">
        <v>33</v>
      </c>
      <c r="G31">
        <v>30000</v>
      </c>
      <c r="H31">
        <v>4</v>
      </c>
      <c r="I31">
        <v>6000</v>
      </c>
    </row>
    <row r="32" spans="1:9">
      <c r="A32" t="s">
        <v>66</v>
      </c>
      <c r="B32" s="1">
        <v>46131</v>
      </c>
      <c r="C32" t="s">
        <v>10</v>
      </c>
      <c r="D32" t="s">
        <v>21</v>
      </c>
      <c r="E32" t="s">
        <v>12</v>
      </c>
      <c r="F32" t="s">
        <v>13</v>
      </c>
      <c r="G32">
        <v>50000</v>
      </c>
      <c r="H32">
        <v>2</v>
      </c>
      <c r="I32">
        <v>7000</v>
      </c>
    </row>
    <row r="33" spans="1:9">
      <c r="A33" t="s">
        <v>67</v>
      </c>
      <c r="B33" s="1">
        <v>46134</v>
      </c>
      <c r="C33" t="s">
        <v>15</v>
      </c>
      <c r="D33" t="s">
        <v>25</v>
      </c>
      <c r="E33" t="s">
        <v>26</v>
      </c>
      <c r="F33" t="s">
        <v>39</v>
      </c>
      <c r="G33">
        <v>1500</v>
      </c>
      <c r="H33">
        <v>25</v>
      </c>
      <c r="I33">
        <v>300</v>
      </c>
    </row>
    <row r="34" spans="1:9">
      <c r="A34" t="s">
        <v>68</v>
      </c>
      <c r="B34" s="1">
        <v>46137</v>
      </c>
      <c r="C34" t="s">
        <v>20</v>
      </c>
      <c r="D34" t="s">
        <v>11</v>
      </c>
      <c r="E34" t="s">
        <v>12</v>
      </c>
      <c r="F34" t="s">
        <v>22</v>
      </c>
      <c r="G34">
        <v>35000</v>
      </c>
      <c r="H34">
        <v>3</v>
      </c>
      <c r="I34">
        <v>5250</v>
      </c>
    </row>
    <row r="35" spans="1:9">
      <c r="A35" t="s">
        <v>69</v>
      </c>
      <c r="B35" s="1">
        <v>46140</v>
      </c>
      <c r="C35" t="s">
        <v>24</v>
      </c>
      <c r="D35" t="s">
        <v>16</v>
      </c>
      <c r="E35" t="s">
        <v>17</v>
      </c>
      <c r="F35" t="s">
        <v>45</v>
      </c>
      <c r="G35">
        <v>19000</v>
      </c>
      <c r="H35">
        <v>2</v>
      </c>
      <c r="I35">
        <v>3800</v>
      </c>
    </row>
    <row r="36" spans="1:9">
      <c r="A36" t="s">
        <v>70</v>
      </c>
      <c r="B36" s="1">
        <v>46144</v>
      </c>
      <c r="C36" t="s">
        <v>29</v>
      </c>
      <c r="D36" t="s">
        <v>21</v>
      </c>
      <c r="E36" t="s">
        <v>12</v>
      </c>
      <c r="F36" t="s">
        <v>30</v>
      </c>
      <c r="G36">
        <v>2800</v>
      </c>
      <c r="H36">
        <v>7</v>
      </c>
      <c r="I36">
        <v>560</v>
      </c>
    </row>
    <row r="37" spans="1:9">
      <c r="A37" t="s">
        <v>71</v>
      </c>
      <c r="B37" s="1">
        <v>46147</v>
      </c>
      <c r="C37" t="s">
        <v>32</v>
      </c>
      <c r="D37" t="s">
        <v>25</v>
      </c>
      <c r="E37" t="s">
        <v>26</v>
      </c>
      <c r="F37" t="s">
        <v>27</v>
      </c>
      <c r="G37">
        <v>2800</v>
      </c>
      <c r="H37">
        <v>11</v>
      </c>
      <c r="I37">
        <v>560</v>
      </c>
    </row>
    <row r="38" spans="1:9">
      <c r="A38" t="s">
        <v>72</v>
      </c>
      <c r="B38" s="1">
        <v>46150</v>
      </c>
      <c r="C38" t="s">
        <v>35</v>
      </c>
      <c r="D38" t="s">
        <v>11</v>
      </c>
      <c r="E38" t="s">
        <v>12</v>
      </c>
      <c r="F38" t="s">
        <v>36</v>
      </c>
      <c r="G38">
        <v>7200</v>
      </c>
      <c r="H38">
        <v>8</v>
      </c>
      <c r="I38">
        <v>1440</v>
      </c>
    </row>
    <row r="39" spans="1:9">
      <c r="A39" t="s">
        <v>73</v>
      </c>
      <c r="B39" s="1">
        <v>46154</v>
      </c>
      <c r="C39" t="s">
        <v>38</v>
      </c>
      <c r="D39" t="s">
        <v>16</v>
      </c>
      <c r="E39" t="s">
        <v>17</v>
      </c>
      <c r="F39" t="s">
        <v>18</v>
      </c>
      <c r="G39">
        <v>24000</v>
      </c>
      <c r="H39">
        <v>6</v>
      </c>
      <c r="I39">
        <v>4800</v>
      </c>
    </row>
    <row r="40" spans="1:9">
      <c r="A40" t="s">
        <v>74</v>
      </c>
      <c r="B40" s="1">
        <v>46157</v>
      </c>
      <c r="C40" t="s">
        <v>41</v>
      </c>
      <c r="D40" t="s">
        <v>21</v>
      </c>
      <c r="E40" t="s">
        <v>12</v>
      </c>
      <c r="F40" t="s">
        <v>42</v>
      </c>
      <c r="G40">
        <v>38000</v>
      </c>
      <c r="H40">
        <v>2</v>
      </c>
      <c r="I40">
        <v>5700</v>
      </c>
    </row>
    <row r="41" spans="1:9">
      <c r="A41" t="s">
        <v>75</v>
      </c>
      <c r="B41" s="1">
        <v>46160</v>
      </c>
      <c r="C41" t="s">
        <v>44</v>
      </c>
      <c r="D41" t="s">
        <v>25</v>
      </c>
      <c r="E41" t="s">
        <v>26</v>
      </c>
      <c r="F41" t="s">
        <v>39</v>
      </c>
      <c r="G41">
        <v>2100</v>
      </c>
      <c r="H41">
        <v>35</v>
      </c>
      <c r="I41">
        <v>420</v>
      </c>
    </row>
    <row r="42" spans="1:9">
      <c r="A42" t="s">
        <v>76</v>
      </c>
      <c r="B42" s="1">
        <v>46164</v>
      </c>
      <c r="C42" t="s">
        <v>10</v>
      </c>
      <c r="D42" t="s">
        <v>11</v>
      </c>
      <c r="E42" t="s">
        <v>12</v>
      </c>
      <c r="F42" t="s">
        <v>13</v>
      </c>
      <c r="G42">
        <v>90000</v>
      </c>
      <c r="H42">
        <v>3</v>
      </c>
      <c r="I42">
        <v>12000</v>
      </c>
    </row>
    <row r="43" spans="1:9">
      <c r="A43" t="s">
        <v>77</v>
      </c>
      <c r="B43" s="1">
        <v>46167</v>
      </c>
      <c r="C43" t="s">
        <v>15</v>
      </c>
      <c r="D43" t="s">
        <v>16</v>
      </c>
      <c r="E43" t="s">
        <v>17</v>
      </c>
      <c r="F43" t="s">
        <v>33</v>
      </c>
      <c r="G43">
        <v>27000</v>
      </c>
      <c r="H43">
        <v>3</v>
      </c>
      <c r="I43">
        <v>5400</v>
      </c>
    </row>
    <row r="44" spans="1:9">
      <c r="A44" t="s">
        <v>78</v>
      </c>
      <c r="B44" s="1">
        <v>46170</v>
      </c>
      <c r="C44" t="s">
        <v>20</v>
      </c>
      <c r="D44" t="s">
        <v>21</v>
      </c>
      <c r="E44" t="s">
        <v>12</v>
      </c>
      <c r="F44" t="s">
        <v>22</v>
      </c>
      <c r="G44">
        <v>45000</v>
      </c>
      <c r="H44">
        <v>4</v>
      </c>
      <c r="I44">
        <v>6750</v>
      </c>
    </row>
    <row r="45" spans="1:9">
      <c r="A45" t="s">
        <v>79</v>
      </c>
      <c r="B45" s="1">
        <v>46175</v>
      </c>
      <c r="C45" t="s">
        <v>24</v>
      </c>
      <c r="D45" t="s">
        <v>25</v>
      </c>
      <c r="E45" t="s">
        <v>26</v>
      </c>
      <c r="F45" t="s">
        <v>27</v>
      </c>
      <c r="G45">
        <v>3200</v>
      </c>
      <c r="H45">
        <v>13</v>
      </c>
      <c r="I45">
        <v>640</v>
      </c>
    </row>
    <row r="46" spans="1:9">
      <c r="A46" t="s">
        <v>80</v>
      </c>
      <c r="B46" s="1">
        <v>46178</v>
      </c>
      <c r="C46" t="s">
        <v>29</v>
      </c>
      <c r="D46" t="s">
        <v>11</v>
      </c>
      <c r="E46" t="s">
        <v>12</v>
      </c>
      <c r="F46" t="s">
        <v>30</v>
      </c>
      <c r="G46">
        <v>3600</v>
      </c>
      <c r="H46">
        <v>9</v>
      </c>
      <c r="I46">
        <v>720</v>
      </c>
    </row>
    <row r="47" spans="1:9">
      <c r="A47" t="s">
        <v>81</v>
      </c>
      <c r="B47" s="1">
        <v>46182</v>
      </c>
      <c r="C47" t="s">
        <v>32</v>
      </c>
      <c r="D47" t="s">
        <v>16</v>
      </c>
      <c r="E47" t="s">
        <v>17</v>
      </c>
      <c r="F47" t="s">
        <v>45</v>
      </c>
      <c r="G47">
        <v>25000</v>
      </c>
      <c r="H47">
        <v>3</v>
      </c>
      <c r="I47">
        <v>5000</v>
      </c>
    </row>
    <row r="48" spans="1:9">
      <c r="A48" t="s">
        <v>82</v>
      </c>
      <c r="B48" s="1">
        <v>46185</v>
      </c>
      <c r="C48" t="s">
        <v>35</v>
      </c>
      <c r="D48" t="s">
        <v>21</v>
      </c>
      <c r="E48" t="s">
        <v>12</v>
      </c>
      <c r="F48" t="s">
        <v>36</v>
      </c>
      <c r="G48">
        <v>8100</v>
      </c>
      <c r="H48">
        <v>9</v>
      </c>
      <c r="I48">
        <v>1620</v>
      </c>
    </row>
    <row r="49" spans="1:9">
      <c r="A49" t="s">
        <v>83</v>
      </c>
      <c r="B49" s="1">
        <v>46188</v>
      </c>
      <c r="C49" t="s">
        <v>38</v>
      </c>
      <c r="D49" t="s">
        <v>25</v>
      </c>
      <c r="E49" t="s">
        <v>26</v>
      </c>
      <c r="F49" t="s">
        <v>39</v>
      </c>
      <c r="G49">
        <v>2800</v>
      </c>
      <c r="H49">
        <v>45</v>
      </c>
      <c r="I49">
        <v>560</v>
      </c>
    </row>
    <row r="50" spans="1:9">
      <c r="A50" t="s">
        <v>84</v>
      </c>
      <c r="B50" s="1">
        <v>46192</v>
      </c>
      <c r="C50" t="s">
        <v>41</v>
      </c>
      <c r="D50" t="s">
        <v>11</v>
      </c>
      <c r="E50" t="s">
        <v>12</v>
      </c>
      <c r="F50" t="s">
        <v>42</v>
      </c>
      <c r="G50">
        <v>45000</v>
      </c>
      <c r="H50">
        <v>3</v>
      </c>
      <c r="I50">
        <v>6750</v>
      </c>
    </row>
    <row r="51" spans="1:9">
      <c r="A51" t="s">
        <v>85</v>
      </c>
      <c r="B51" s="1">
        <v>46195</v>
      </c>
      <c r="C51" t="s">
        <v>44</v>
      </c>
      <c r="D51" t="s">
        <v>16</v>
      </c>
      <c r="E51" t="s">
        <v>17</v>
      </c>
      <c r="F51" t="s">
        <v>18</v>
      </c>
      <c r="G51">
        <v>28000</v>
      </c>
      <c r="H51">
        <v>7</v>
      </c>
      <c r="I51">
        <v>5600</v>
      </c>
    </row>
  </sheetData>
  <conditionalFormatting sqref="I2:I51">
    <cfRule type="cellIs" dxfId="6" priority="8" operator="lessThan">
      <formula>2000</formula>
    </cfRule>
  </conditionalFormatting>
  <conditionalFormatting sqref="G2:G51">
    <cfRule type="cellIs" dxfId="5" priority="6" operator="greaterThan">
      <formula>50000</formula>
    </cfRule>
  </conditionalFormatting>
  <conditionalFormatting sqref="G2:G51">
    <cfRule type="top10" dxfId="4" priority="5" stopIfTrue="1" rank="10"/>
  </conditionalFormatting>
  <conditionalFormatting sqref="G2:G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{4DF585EC-F2FD-46A1-9B47-C687EDE9397C}</x14:id>
        </ext>
      </extLst>
    </cfRule>
  </conditionalFormatting>
  <conditionalFormatting sqref="L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{C87F4C3A-1409-43E0-B59B-A59685098395}</x14:id>
        </ext>
      </extLst>
    </cfRule>
  </conditionalFormatting>
  <conditionalFormatting sqref="I2:I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51">
    <cfRule type="duplicateValues" dxfId="3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F585EC-F2FD-46A1-9B47-C687EDE93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G2:G51</xm:sqref>
        </x14:conditionalFormatting>
        <x14:conditionalFormatting xmlns:xm="http://schemas.microsoft.com/office/excel/2006/main">
          <x14:cfRule type="dataBar" id="{C87F4C3A-1409-43E0-B59B-A59685098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1BD8-8301-4787-811B-36225E3EB19E}">
  <dimension ref="A1:K51"/>
  <sheetViews>
    <sheetView workbookViewId="0">
      <selection activeCell="K10" sqref="K10"/>
    </sheetView>
  </sheetViews>
  <sheetFormatPr defaultRowHeight="15"/>
  <cols>
    <col min="1" max="1" width="11.5703125" bestFit="1" customWidth="1"/>
    <col min="2" max="2" width="13.85546875" bestFit="1" customWidth="1"/>
    <col min="3" max="3" width="18.5703125" bestFit="1" customWidth="1"/>
    <col min="4" max="4" width="11" bestFit="1" customWidth="1"/>
    <col min="5" max="5" width="11.42578125" bestFit="1" customWidth="1"/>
    <col min="6" max="6" width="11.28515625" bestFit="1" customWidth="1"/>
    <col min="7" max="7" width="8" bestFit="1" customWidth="1"/>
    <col min="8" max="8" width="11.28515625" bestFit="1" customWidth="1"/>
    <col min="9" max="9" width="8.42578125" bestFit="1" customWidth="1"/>
    <col min="11" max="11" width="14.285156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 t="s">
        <v>92</v>
      </c>
    </row>
    <row r="2" spans="1:11">
      <c r="A2" t="s">
        <v>9</v>
      </c>
      <c r="B2" s="1">
        <v>46027</v>
      </c>
      <c r="C2" t="s">
        <v>10</v>
      </c>
      <c r="D2" t="s">
        <v>11</v>
      </c>
      <c r="E2" t="s">
        <v>12</v>
      </c>
      <c r="F2" t="s">
        <v>13</v>
      </c>
      <c r="G2">
        <v>55000</v>
      </c>
      <c r="H2">
        <v>2</v>
      </c>
      <c r="I2">
        <v>7000</v>
      </c>
      <c r="K2" s="62">
        <f>SUM(G2:G51)</f>
        <v>1074600</v>
      </c>
    </row>
    <row r="3" spans="1:11">
      <c r="A3" t="s">
        <v>14</v>
      </c>
      <c r="B3" s="1">
        <v>46029</v>
      </c>
      <c r="C3" t="s">
        <v>15</v>
      </c>
      <c r="D3" t="s">
        <v>16</v>
      </c>
      <c r="E3" t="s">
        <v>17</v>
      </c>
      <c r="F3" t="s">
        <v>18</v>
      </c>
      <c r="G3">
        <v>12000</v>
      </c>
      <c r="H3">
        <v>3</v>
      </c>
      <c r="I3">
        <v>2400</v>
      </c>
      <c r="K3" s="3" t="s">
        <v>100</v>
      </c>
    </row>
    <row r="4" spans="1:11">
      <c r="A4" t="s">
        <v>19</v>
      </c>
      <c r="B4" s="1">
        <v>46032</v>
      </c>
      <c r="C4" t="s">
        <v>20</v>
      </c>
      <c r="D4" t="s">
        <v>21</v>
      </c>
      <c r="E4" t="s">
        <v>12</v>
      </c>
      <c r="F4" t="s">
        <v>22</v>
      </c>
      <c r="G4">
        <v>30000</v>
      </c>
      <c r="H4">
        <v>3</v>
      </c>
      <c r="I4">
        <v>4500</v>
      </c>
      <c r="K4" s="64">
        <f>SUM(I2:I51)</f>
        <v>173520</v>
      </c>
    </row>
    <row r="5" spans="1:11">
      <c r="A5" t="s">
        <v>23</v>
      </c>
      <c r="B5" s="1">
        <v>46035</v>
      </c>
      <c r="C5" t="s">
        <v>24</v>
      </c>
      <c r="D5" t="s">
        <v>25</v>
      </c>
      <c r="E5" t="s">
        <v>26</v>
      </c>
      <c r="F5" t="s">
        <v>27</v>
      </c>
      <c r="G5">
        <v>2500</v>
      </c>
      <c r="H5">
        <v>10</v>
      </c>
      <c r="I5">
        <v>500</v>
      </c>
      <c r="K5" s="63" t="s">
        <v>96</v>
      </c>
    </row>
    <row r="6" spans="1:11">
      <c r="A6" t="s">
        <v>28</v>
      </c>
      <c r="B6" s="1">
        <v>46038</v>
      </c>
      <c r="C6" t="s">
        <v>29</v>
      </c>
      <c r="D6" t="s">
        <v>11</v>
      </c>
      <c r="E6" t="s">
        <v>12</v>
      </c>
      <c r="F6" t="s">
        <v>30</v>
      </c>
      <c r="G6">
        <v>2400</v>
      </c>
      <c r="H6">
        <v>6</v>
      </c>
      <c r="I6">
        <v>480</v>
      </c>
      <c r="K6" s="65">
        <f>SUM(H2:H51)</f>
        <v>429</v>
      </c>
    </row>
    <row r="7" spans="1:11">
      <c r="A7" t="s">
        <v>31</v>
      </c>
      <c r="B7" s="1">
        <v>46042</v>
      </c>
      <c r="C7" t="s">
        <v>32</v>
      </c>
      <c r="D7" t="s">
        <v>16</v>
      </c>
      <c r="E7" t="s">
        <v>17</v>
      </c>
      <c r="F7" t="s">
        <v>33</v>
      </c>
      <c r="G7">
        <v>18000</v>
      </c>
      <c r="H7">
        <v>2</v>
      </c>
      <c r="I7">
        <v>3600</v>
      </c>
      <c r="K7" s="69" t="s">
        <v>107</v>
      </c>
    </row>
    <row r="8" spans="1:11">
      <c r="A8" t="s">
        <v>34</v>
      </c>
      <c r="B8" s="1">
        <v>46045</v>
      </c>
      <c r="C8" t="s">
        <v>35</v>
      </c>
      <c r="D8" t="s">
        <v>21</v>
      </c>
      <c r="E8" t="s">
        <v>12</v>
      </c>
      <c r="F8" t="s">
        <v>36</v>
      </c>
      <c r="G8">
        <v>4500</v>
      </c>
      <c r="H8">
        <v>5</v>
      </c>
      <c r="I8">
        <v>900</v>
      </c>
      <c r="K8" s="66">
        <f>AVERAGE(G2:G51)</f>
        <v>21492</v>
      </c>
    </row>
    <row r="9" spans="1:11">
      <c r="A9" t="s">
        <v>37</v>
      </c>
      <c r="B9" s="1">
        <v>46049</v>
      </c>
      <c r="C9" t="s">
        <v>38</v>
      </c>
      <c r="D9" t="s">
        <v>25</v>
      </c>
      <c r="E9" t="s">
        <v>26</v>
      </c>
      <c r="F9" t="s">
        <v>39</v>
      </c>
      <c r="G9">
        <v>1200</v>
      </c>
      <c r="H9">
        <v>20</v>
      </c>
      <c r="I9">
        <v>240</v>
      </c>
      <c r="K9" s="3" t="s">
        <v>223</v>
      </c>
    </row>
    <row r="10" spans="1:11">
      <c r="A10" t="s">
        <v>40</v>
      </c>
      <c r="B10" s="1">
        <v>46055</v>
      </c>
      <c r="C10" t="s">
        <v>41</v>
      </c>
      <c r="D10" t="s">
        <v>11</v>
      </c>
      <c r="E10" t="s">
        <v>12</v>
      </c>
      <c r="F10" t="s">
        <v>42</v>
      </c>
      <c r="G10">
        <v>28000</v>
      </c>
      <c r="H10">
        <v>2</v>
      </c>
      <c r="I10">
        <v>4200</v>
      </c>
      <c r="K10">
        <f>COUNTA(A2:A51)</f>
        <v>50</v>
      </c>
    </row>
    <row r="11" spans="1:11">
      <c r="A11" t="s">
        <v>43</v>
      </c>
      <c r="B11" s="1">
        <v>46058</v>
      </c>
      <c r="C11" t="s">
        <v>44</v>
      </c>
      <c r="D11" t="s">
        <v>16</v>
      </c>
      <c r="E11" t="s">
        <v>17</v>
      </c>
      <c r="F11" t="s">
        <v>45</v>
      </c>
      <c r="G11">
        <v>15000</v>
      </c>
      <c r="H11">
        <v>2</v>
      </c>
      <c r="I11">
        <v>3000</v>
      </c>
      <c r="K11" s="3" t="s">
        <v>131</v>
      </c>
    </row>
    <row r="12" spans="1:11">
      <c r="A12" t="s">
        <v>46</v>
      </c>
      <c r="B12" s="1">
        <v>46061</v>
      </c>
      <c r="C12" t="s">
        <v>10</v>
      </c>
      <c r="D12" t="s">
        <v>21</v>
      </c>
      <c r="E12" t="s">
        <v>12</v>
      </c>
      <c r="F12" t="s">
        <v>13</v>
      </c>
      <c r="G12">
        <v>60000</v>
      </c>
      <c r="H12">
        <v>2</v>
      </c>
      <c r="I12">
        <v>8000</v>
      </c>
      <c r="K12" s="67">
        <f>MAX(G2:G51)</f>
        <v>90000</v>
      </c>
    </row>
    <row r="13" spans="1:11">
      <c r="A13" t="s">
        <v>47</v>
      </c>
      <c r="B13" s="1">
        <v>46065</v>
      </c>
      <c r="C13" t="s">
        <v>15</v>
      </c>
      <c r="D13" t="s">
        <v>25</v>
      </c>
      <c r="E13" t="s">
        <v>26</v>
      </c>
      <c r="F13" t="s">
        <v>27</v>
      </c>
      <c r="G13">
        <v>3000</v>
      </c>
      <c r="H13">
        <v>12</v>
      </c>
      <c r="I13">
        <v>600</v>
      </c>
      <c r="K13" s="3" t="s">
        <v>137</v>
      </c>
    </row>
    <row r="14" spans="1:11">
      <c r="A14" t="s">
        <v>48</v>
      </c>
      <c r="B14" s="1">
        <v>46068</v>
      </c>
      <c r="C14" t="s">
        <v>20</v>
      </c>
      <c r="D14" t="s">
        <v>11</v>
      </c>
      <c r="E14" t="s">
        <v>12</v>
      </c>
      <c r="F14" t="s">
        <v>22</v>
      </c>
      <c r="G14">
        <v>40000</v>
      </c>
      <c r="H14">
        <v>4</v>
      </c>
      <c r="I14">
        <v>6000</v>
      </c>
      <c r="K14" s="68">
        <f>MAX(I2:I51)</f>
        <v>12000</v>
      </c>
    </row>
    <row r="15" spans="1:11">
      <c r="A15" t="s">
        <v>49</v>
      </c>
      <c r="B15" s="1">
        <v>46071</v>
      </c>
      <c r="C15" t="s">
        <v>24</v>
      </c>
      <c r="D15" t="s">
        <v>16</v>
      </c>
      <c r="E15" t="s">
        <v>17</v>
      </c>
      <c r="F15" t="s">
        <v>18</v>
      </c>
      <c r="G15">
        <v>16000</v>
      </c>
      <c r="H15">
        <v>4</v>
      </c>
      <c r="I15">
        <v>3200</v>
      </c>
    </row>
    <row r="16" spans="1:11">
      <c r="A16" t="s">
        <v>50</v>
      </c>
      <c r="B16" s="1">
        <v>46074</v>
      </c>
      <c r="C16" t="s">
        <v>29</v>
      </c>
      <c r="D16" t="s">
        <v>21</v>
      </c>
      <c r="E16" t="s">
        <v>12</v>
      </c>
      <c r="F16" t="s">
        <v>30</v>
      </c>
      <c r="G16">
        <v>3200</v>
      </c>
      <c r="H16">
        <v>8</v>
      </c>
      <c r="I16">
        <v>640</v>
      </c>
    </row>
    <row r="17" spans="1:9">
      <c r="A17" t="s">
        <v>51</v>
      </c>
      <c r="B17" s="1">
        <v>46078</v>
      </c>
      <c r="C17" t="s">
        <v>32</v>
      </c>
      <c r="D17" t="s">
        <v>25</v>
      </c>
      <c r="E17" t="s">
        <v>26</v>
      </c>
      <c r="F17" t="s">
        <v>39</v>
      </c>
      <c r="G17">
        <v>1800</v>
      </c>
      <c r="H17">
        <v>30</v>
      </c>
      <c r="I17">
        <v>360</v>
      </c>
    </row>
    <row r="18" spans="1:9">
      <c r="A18" t="s">
        <v>52</v>
      </c>
      <c r="B18" s="1">
        <v>46082</v>
      </c>
      <c r="C18" t="s">
        <v>35</v>
      </c>
      <c r="D18" t="s">
        <v>11</v>
      </c>
      <c r="E18" t="s">
        <v>12</v>
      </c>
      <c r="F18" t="s">
        <v>36</v>
      </c>
      <c r="G18">
        <v>5400</v>
      </c>
      <c r="H18">
        <v>6</v>
      </c>
      <c r="I18">
        <v>1080</v>
      </c>
    </row>
    <row r="19" spans="1:9">
      <c r="A19" t="s">
        <v>53</v>
      </c>
      <c r="B19" s="1">
        <v>46085</v>
      </c>
      <c r="C19" t="s">
        <v>38</v>
      </c>
      <c r="D19" t="s">
        <v>16</v>
      </c>
      <c r="E19" t="s">
        <v>17</v>
      </c>
      <c r="F19" t="s">
        <v>33</v>
      </c>
      <c r="G19">
        <v>24000</v>
      </c>
      <c r="H19">
        <v>3</v>
      </c>
      <c r="I19">
        <v>4800</v>
      </c>
    </row>
    <row r="20" spans="1:9">
      <c r="A20" t="s">
        <v>54</v>
      </c>
      <c r="B20" s="1">
        <v>46089</v>
      </c>
      <c r="C20" t="s">
        <v>41</v>
      </c>
      <c r="D20" t="s">
        <v>21</v>
      </c>
      <c r="E20" t="s">
        <v>12</v>
      </c>
      <c r="F20" t="s">
        <v>42</v>
      </c>
      <c r="G20">
        <v>35000</v>
      </c>
      <c r="H20">
        <v>2</v>
      </c>
      <c r="I20">
        <v>5250</v>
      </c>
    </row>
    <row r="21" spans="1:9">
      <c r="A21" t="s">
        <v>55</v>
      </c>
      <c r="B21" s="1">
        <v>46093</v>
      </c>
      <c r="C21" t="s">
        <v>44</v>
      </c>
      <c r="D21" t="s">
        <v>25</v>
      </c>
      <c r="E21" t="s">
        <v>26</v>
      </c>
      <c r="F21" t="s">
        <v>27</v>
      </c>
      <c r="G21">
        <v>2200</v>
      </c>
      <c r="H21">
        <v>9</v>
      </c>
      <c r="I21">
        <v>440</v>
      </c>
    </row>
    <row r="22" spans="1:9">
      <c r="A22" t="s">
        <v>56</v>
      </c>
      <c r="B22" s="1">
        <v>46096</v>
      </c>
      <c r="C22" t="s">
        <v>10</v>
      </c>
      <c r="D22" t="s">
        <v>11</v>
      </c>
      <c r="E22" t="s">
        <v>12</v>
      </c>
      <c r="F22" t="s">
        <v>13</v>
      </c>
      <c r="G22">
        <v>75000</v>
      </c>
      <c r="H22">
        <v>3</v>
      </c>
      <c r="I22">
        <v>10000</v>
      </c>
    </row>
    <row r="23" spans="1:9">
      <c r="A23" t="s">
        <v>57</v>
      </c>
      <c r="B23" s="1">
        <v>46099</v>
      </c>
      <c r="C23" t="s">
        <v>15</v>
      </c>
      <c r="D23" t="s">
        <v>16</v>
      </c>
      <c r="E23" t="s">
        <v>17</v>
      </c>
      <c r="F23" t="s">
        <v>45</v>
      </c>
      <c r="G23">
        <v>22000</v>
      </c>
      <c r="H23">
        <v>3</v>
      </c>
      <c r="I23">
        <v>4400</v>
      </c>
    </row>
    <row r="24" spans="1:9">
      <c r="A24" t="s">
        <v>58</v>
      </c>
      <c r="B24" s="1">
        <v>46102</v>
      </c>
      <c r="C24" t="s">
        <v>20</v>
      </c>
      <c r="D24" t="s">
        <v>21</v>
      </c>
      <c r="E24" t="s">
        <v>12</v>
      </c>
      <c r="F24" t="s">
        <v>22</v>
      </c>
      <c r="G24">
        <v>50000</v>
      </c>
      <c r="H24">
        <v>5</v>
      </c>
      <c r="I24">
        <v>7500</v>
      </c>
    </row>
    <row r="25" spans="1:9">
      <c r="A25" t="s">
        <v>59</v>
      </c>
      <c r="B25" s="1">
        <v>46106</v>
      </c>
      <c r="C25" t="s">
        <v>24</v>
      </c>
      <c r="D25" t="s">
        <v>25</v>
      </c>
      <c r="E25" t="s">
        <v>26</v>
      </c>
      <c r="F25" t="s">
        <v>39</v>
      </c>
      <c r="G25">
        <v>2500</v>
      </c>
      <c r="H25">
        <v>40</v>
      </c>
      <c r="I25">
        <v>500</v>
      </c>
    </row>
    <row r="26" spans="1:9">
      <c r="A26" t="s">
        <v>60</v>
      </c>
      <c r="B26" s="1">
        <v>46109</v>
      </c>
      <c r="C26" t="s">
        <v>29</v>
      </c>
      <c r="D26" t="s">
        <v>11</v>
      </c>
      <c r="E26" t="s">
        <v>12</v>
      </c>
      <c r="F26" t="s">
        <v>30</v>
      </c>
      <c r="G26">
        <v>4000</v>
      </c>
      <c r="H26">
        <v>10</v>
      </c>
      <c r="I26">
        <v>800</v>
      </c>
    </row>
    <row r="27" spans="1:9">
      <c r="A27" t="s">
        <v>61</v>
      </c>
      <c r="B27" s="1">
        <v>46114</v>
      </c>
      <c r="C27" t="s">
        <v>32</v>
      </c>
      <c r="D27" t="s">
        <v>16</v>
      </c>
      <c r="E27" t="s">
        <v>17</v>
      </c>
      <c r="F27" t="s">
        <v>18</v>
      </c>
      <c r="G27">
        <v>20000</v>
      </c>
      <c r="H27">
        <v>5</v>
      </c>
      <c r="I27">
        <v>4000</v>
      </c>
    </row>
    <row r="28" spans="1:9">
      <c r="A28" t="s">
        <v>62</v>
      </c>
      <c r="B28" s="1">
        <v>46117</v>
      </c>
      <c r="C28" t="s">
        <v>35</v>
      </c>
      <c r="D28" t="s">
        <v>21</v>
      </c>
      <c r="E28" t="s">
        <v>12</v>
      </c>
      <c r="F28" t="s">
        <v>36</v>
      </c>
      <c r="G28">
        <v>6300</v>
      </c>
      <c r="H28">
        <v>7</v>
      </c>
      <c r="I28">
        <v>1260</v>
      </c>
    </row>
    <row r="29" spans="1:9">
      <c r="A29" t="s">
        <v>63</v>
      </c>
      <c r="B29" s="1">
        <v>46121</v>
      </c>
      <c r="C29" t="s">
        <v>38</v>
      </c>
      <c r="D29" t="s">
        <v>25</v>
      </c>
      <c r="E29" t="s">
        <v>26</v>
      </c>
      <c r="F29" t="s">
        <v>27</v>
      </c>
      <c r="G29">
        <v>3500</v>
      </c>
      <c r="H29">
        <v>14</v>
      </c>
      <c r="I29">
        <v>700</v>
      </c>
    </row>
    <row r="30" spans="1:9">
      <c r="A30" t="s">
        <v>64</v>
      </c>
      <c r="B30" s="1">
        <v>46124</v>
      </c>
      <c r="C30" t="s">
        <v>41</v>
      </c>
      <c r="D30" t="s">
        <v>11</v>
      </c>
      <c r="E30" t="s">
        <v>12</v>
      </c>
      <c r="F30" t="s">
        <v>42</v>
      </c>
      <c r="G30">
        <v>42000</v>
      </c>
      <c r="H30">
        <v>3</v>
      </c>
      <c r="I30">
        <v>6300</v>
      </c>
    </row>
    <row r="31" spans="1:9">
      <c r="A31" t="s">
        <v>65</v>
      </c>
      <c r="B31" s="1">
        <v>46127</v>
      </c>
      <c r="C31" t="s">
        <v>44</v>
      </c>
      <c r="D31" t="s">
        <v>16</v>
      </c>
      <c r="E31" t="s">
        <v>17</v>
      </c>
      <c r="F31" t="s">
        <v>33</v>
      </c>
      <c r="G31">
        <v>30000</v>
      </c>
      <c r="H31">
        <v>4</v>
      </c>
      <c r="I31">
        <v>6000</v>
      </c>
    </row>
    <row r="32" spans="1:9">
      <c r="A32" t="s">
        <v>66</v>
      </c>
      <c r="B32" s="1">
        <v>46131</v>
      </c>
      <c r="C32" t="s">
        <v>10</v>
      </c>
      <c r="D32" t="s">
        <v>21</v>
      </c>
      <c r="E32" t="s">
        <v>12</v>
      </c>
      <c r="F32" t="s">
        <v>13</v>
      </c>
      <c r="G32">
        <v>50000</v>
      </c>
      <c r="H32">
        <v>2</v>
      </c>
      <c r="I32">
        <v>7000</v>
      </c>
    </row>
    <row r="33" spans="1:9">
      <c r="A33" t="s">
        <v>67</v>
      </c>
      <c r="B33" s="1">
        <v>46134</v>
      </c>
      <c r="C33" t="s">
        <v>15</v>
      </c>
      <c r="D33" t="s">
        <v>25</v>
      </c>
      <c r="E33" t="s">
        <v>26</v>
      </c>
      <c r="F33" t="s">
        <v>39</v>
      </c>
      <c r="G33">
        <v>1500</v>
      </c>
      <c r="H33">
        <v>25</v>
      </c>
      <c r="I33">
        <v>300</v>
      </c>
    </row>
    <row r="34" spans="1:9">
      <c r="A34" t="s">
        <v>68</v>
      </c>
      <c r="B34" s="1">
        <v>46137</v>
      </c>
      <c r="C34" t="s">
        <v>20</v>
      </c>
      <c r="D34" t="s">
        <v>11</v>
      </c>
      <c r="E34" t="s">
        <v>12</v>
      </c>
      <c r="F34" t="s">
        <v>22</v>
      </c>
      <c r="G34">
        <v>35000</v>
      </c>
      <c r="H34">
        <v>3</v>
      </c>
      <c r="I34">
        <v>5250</v>
      </c>
    </row>
    <row r="35" spans="1:9">
      <c r="A35" t="s">
        <v>69</v>
      </c>
      <c r="B35" s="1">
        <v>46140</v>
      </c>
      <c r="C35" t="s">
        <v>24</v>
      </c>
      <c r="D35" t="s">
        <v>16</v>
      </c>
      <c r="E35" t="s">
        <v>17</v>
      </c>
      <c r="F35" t="s">
        <v>45</v>
      </c>
      <c r="G35">
        <v>19000</v>
      </c>
      <c r="H35">
        <v>2</v>
      </c>
      <c r="I35">
        <v>3800</v>
      </c>
    </row>
    <row r="36" spans="1:9">
      <c r="A36" t="s">
        <v>70</v>
      </c>
      <c r="B36" s="1">
        <v>46144</v>
      </c>
      <c r="C36" t="s">
        <v>29</v>
      </c>
      <c r="D36" t="s">
        <v>21</v>
      </c>
      <c r="E36" t="s">
        <v>12</v>
      </c>
      <c r="F36" t="s">
        <v>30</v>
      </c>
      <c r="G36">
        <v>2800</v>
      </c>
      <c r="H36">
        <v>7</v>
      </c>
      <c r="I36">
        <v>560</v>
      </c>
    </row>
    <row r="37" spans="1:9">
      <c r="A37" t="s">
        <v>71</v>
      </c>
      <c r="B37" s="1">
        <v>46147</v>
      </c>
      <c r="C37" t="s">
        <v>32</v>
      </c>
      <c r="D37" t="s">
        <v>25</v>
      </c>
      <c r="E37" t="s">
        <v>26</v>
      </c>
      <c r="F37" t="s">
        <v>27</v>
      </c>
      <c r="G37">
        <v>2800</v>
      </c>
      <c r="H37">
        <v>11</v>
      </c>
      <c r="I37">
        <v>560</v>
      </c>
    </row>
    <row r="38" spans="1:9">
      <c r="A38" t="s">
        <v>72</v>
      </c>
      <c r="B38" s="1">
        <v>46150</v>
      </c>
      <c r="C38" t="s">
        <v>35</v>
      </c>
      <c r="D38" t="s">
        <v>11</v>
      </c>
      <c r="E38" t="s">
        <v>12</v>
      </c>
      <c r="F38" t="s">
        <v>36</v>
      </c>
      <c r="G38">
        <v>7200</v>
      </c>
      <c r="H38">
        <v>8</v>
      </c>
      <c r="I38">
        <v>1440</v>
      </c>
    </row>
    <row r="39" spans="1:9">
      <c r="A39" t="s">
        <v>73</v>
      </c>
      <c r="B39" s="1">
        <v>46154</v>
      </c>
      <c r="C39" t="s">
        <v>38</v>
      </c>
      <c r="D39" t="s">
        <v>16</v>
      </c>
      <c r="E39" t="s">
        <v>17</v>
      </c>
      <c r="F39" t="s">
        <v>18</v>
      </c>
      <c r="G39">
        <v>24000</v>
      </c>
      <c r="H39">
        <v>6</v>
      </c>
      <c r="I39">
        <v>4800</v>
      </c>
    </row>
    <row r="40" spans="1:9">
      <c r="A40" t="s">
        <v>74</v>
      </c>
      <c r="B40" s="1">
        <v>46157</v>
      </c>
      <c r="C40" t="s">
        <v>41</v>
      </c>
      <c r="D40" t="s">
        <v>21</v>
      </c>
      <c r="E40" t="s">
        <v>12</v>
      </c>
      <c r="F40" t="s">
        <v>42</v>
      </c>
      <c r="G40">
        <v>38000</v>
      </c>
      <c r="H40">
        <v>2</v>
      </c>
      <c r="I40">
        <v>5700</v>
      </c>
    </row>
    <row r="41" spans="1:9">
      <c r="A41" t="s">
        <v>75</v>
      </c>
      <c r="B41" s="1">
        <v>46160</v>
      </c>
      <c r="C41" t="s">
        <v>44</v>
      </c>
      <c r="D41" t="s">
        <v>25</v>
      </c>
      <c r="E41" t="s">
        <v>26</v>
      </c>
      <c r="F41" t="s">
        <v>39</v>
      </c>
      <c r="G41">
        <v>2100</v>
      </c>
      <c r="H41">
        <v>35</v>
      </c>
      <c r="I41">
        <v>420</v>
      </c>
    </row>
    <row r="42" spans="1:9">
      <c r="A42" t="s">
        <v>76</v>
      </c>
      <c r="B42" s="1">
        <v>46164</v>
      </c>
      <c r="C42" t="s">
        <v>10</v>
      </c>
      <c r="D42" t="s">
        <v>11</v>
      </c>
      <c r="E42" t="s">
        <v>12</v>
      </c>
      <c r="F42" t="s">
        <v>13</v>
      </c>
      <c r="G42">
        <v>90000</v>
      </c>
      <c r="H42">
        <v>3</v>
      </c>
      <c r="I42">
        <v>12000</v>
      </c>
    </row>
    <row r="43" spans="1:9">
      <c r="A43" t="s">
        <v>77</v>
      </c>
      <c r="B43" s="1">
        <v>46167</v>
      </c>
      <c r="C43" t="s">
        <v>15</v>
      </c>
      <c r="D43" t="s">
        <v>16</v>
      </c>
      <c r="E43" t="s">
        <v>17</v>
      </c>
      <c r="F43" t="s">
        <v>33</v>
      </c>
      <c r="G43">
        <v>27000</v>
      </c>
      <c r="H43">
        <v>3</v>
      </c>
      <c r="I43">
        <v>5400</v>
      </c>
    </row>
    <row r="44" spans="1:9">
      <c r="A44" t="s">
        <v>78</v>
      </c>
      <c r="B44" s="1">
        <v>46170</v>
      </c>
      <c r="C44" t="s">
        <v>20</v>
      </c>
      <c r="D44" t="s">
        <v>21</v>
      </c>
      <c r="E44" t="s">
        <v>12</v>
      </c>
      <c r="F44" t="s">
        <v>22</v>
      </c>
      <c r="G44">
        <v>45000</v>
      </c>
      <c r="H44">
        <v>4</v>
      </c>
      <c r="I44">
        <v>6750</v>
      </c>
    </row>
    <row r="45" spans="1:9">
      <c r="A45" t="s">
        <v>79</v>
      </c>
      <c r="B45" s="1">
        <v>46175</v>
      </c>
      <c r="C45" t="s">
        <v>24</v>
      </c>
      <c r="D45" t="s">
        <v>25</v>
      </c>
      <c r="E45" t="s">
        <v>26</v>
      </c>
      <c r="F45" t="s">
        <v>27</v>
      </c>
      <c r="G45">
        <v>3200</v>
      </c>
      <c r="H45">
        <v>13</v>
      </c>
      <c r="I45">
        <v>640</v>
      </c>
    </row>
    <row r="46" spans="1:9">
      <c r="A46" t="s">
        <v>80</v>
      </c>
      <c r="B46" s="1">
        <v>46178</v>
      </c>
      <c r="C46" t="s">
        <v>29</v>
      </c>
      <c r="D46" t="s">
        <v>11</v>
      </c>
      <c r="E46" t="s">
        <v>12</v>
      </c>
      <c r="F46" t="s">
        <v>30</v>
      </c>
      <c r="G46">
        <v>3600</v>
      </c>
      <c r="H46">
        <v>9</v>
      </c>
      <c r="I46">
        <v>720</v>
      </c>
    </row>
    <row r="47" spans="1:9">
      <c r="A47" t="s">
        <v>81</v>
      </c>
      <c r="B47" s="1">
        <v>46182</v>
      </c>
      <c r="C47" t="s">
        <v>32</v>
      </c>
      <c r="D47" t="s">
        <v>16</v>
      </c>
      <c r="E47" t="s">
        <v>17</v>
      </c>
      <c r="F47" t="s">
        <v>45</v>
      </c>
      <c r="G47">
        <v>25000</v>
      </c>
      <c r="H47">
        <v>3</v>
      </c>
      <c r="I47">
        <v>5000</v>
      </c>
    </row>
    <row r="48" spans="1:9">
      <c r="A48" t="s">
        <v>82</v>
      </c>
      <c r="B48" s="1">
        <v>46185</v>
      </c>
      <c r="C48" t="s">
        <v>35</v>
      </c>
      <c r="D48" t="s">
        <v>21</v>
      </c>
      <c r="E48" t="s">
        <v>12</v>
      </c>
      <c r="F48" t="s">
        <v>36</v>
      </c>
      <c r="G48">
        <v>8100</v>
      </c>
      <c r="H48">
        <v>9</v>
      </c>
      <c r="I48">
        <v>1620</v>
      </c>
    </row>
    <row r="49" spans="1:9">
      <c r="A49" t="s">
        <v>83</v>
      </c>
      <c r="B49" s="1">
        <v>46188</v>
      </c>
      <c r="C49" t="s">
        <v>38</v>
      </c>
      <c r="D49" t="s">
        <v>25</v>
      </c>
      <c r="E49" t="s">
        <v>26</v>
      </c>
      <c r="F49" t="s">
        <v>39</v>
      </c>
      <c r="G49">
        <v>2800</v>
      </c>
      <c r="H49">
        <v>45</v>
      </c>
      <c r="I49">
        <v>560</v>
      </c>
    </row>
    <row r="50" spans="1:9">
      <c r="A50" t="s">
        <v>84</v>
      </c>
      <c r="B50" s="1">
        <v>46192</v>
      </c>
      <c r="C50" t="s">
        <v>41</v>
      </c>
      <c r="D50" t="s">
        <v>11</v>
      </c>
      <c r="E50" t="s">
        <v>12</v>
      </c>
      <c r="F50" t="s">
        <v>42</v>
      </c>
      <c r="G50">
        <v>45000</v>
      </c>
      <c r="H50">
        <v>3</v>
      </c>
      <c r="I50">
        <v>6750</v>
      </c>
    </row>
    <row r="51" spans="1:9">
      <c r="A51" t="s">
        <v>85</v>
      </c>
      <c r="B51" s="1">
        <v>46195</v>
      </c>
      <c r="C51" t="s">
        <v>44</v>
      </c>
      <c r="D51" t="s">
        <v>16</v>
      </c>
      <c r="E51" t="s">
        <v>17</v>
      </c>
      <c r="F51" t="s">
        <v>18</v>
      </c>
      <c r="G51">
        <v>28000</v>
      </c>
      <c r="H51">
        <v>7</v>
      </c>
      <c r="I51">
        <v>5600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7635-DE54-450B-885D-24262EBBAF75}">
  <dimension ref="A3:K14"/>
  <sheetViews>
    <sheetView tabSelected="1" topLeftCell="C8" workbookViewId="0">
      <selection activeCell="H30" sqref="H30"/>
    </sheetView>
  </sheetViews>
  <sheetFormatPr defaultRowHeight="15"/>
  <cols>
    <col min="1" max="1" width="11.7109375" bestFit="1" customWidth="1"/>
    <col min="2" max="2" width="12.42578125" bestFit="1" customWidth="1"/>
    <col min="4" max="4" width="11.7109375" bestFit="1" customWidth="1"/>
    <col min="5" max="5" width="12.42578125" bestFit="1" customWidth="1"/>
    <col min="7" max="7" width="19.42578125" bestFit="1" customWidth="1"/>
    <col min="8" max="8" width="12.42578125" bestFit="1" customWidth="1"/>
    <col min="10" max="10" width="12.28515625" bestFit="1" customWidth="1"/>
    <col min="11" max="11" width="12.42578125" bestFit="1" customWidth="1"/>
    <col min="13" max="13" width="11.7109375" bestFit="1" customWidth="1"/>
    <col min="14" max="14" width="12.85546875" bestFit="1" customWidth="1"/>
  </cols>
  <sheetData>
    <row r="3" spans="1:11">
      <c r="A3" s="53" t="s">
        <v>3</v>
      </c>
      <c r="B3" s="54" t="s">
        <v>209</v>
      </c>
      <c r="D3" s="53" t="s">
        <v>5</v>
      </c>
      <c r="E3" t="s">
        <v>209</v>
      </c>
      <c r="G3" s="53" t="s">
        <v>2</v>
      </c>
      <c r="H3" t="s">
        <v>209</v>
      </c>
      <c r="J3" s="53" t="s">
        <v>4</v>
      </c>
      <c r="K3" t="s">
        <v>209</v>
      </c>
    </row>
    <row r="4" spans="1:11">
      <c r="A4" t="s">
        <v>21</v>
      </c>
      <c r="B4" s="54">
        <v>332900</v>
      </c>
      <c r="D4" t="s">
        <v>45</v>
      </c>
      <c r="E4" s="61">
        <v>81000</v>
      </c>
      <c r="G4" t="s">
        <v>38</v>
      </c>
      <c r="H4" s="54">
        <v>55500</v>
      </c>
      <c r="J4" t="s">
        <v>12</v>
      </c>
      <c r="K4" s="54">
        <v>765500</v>
      </c>
    </row>
    <row r="5" spans="1:11">
      <c r="A5" t="s">
        <v>16</v>
      </c>
      <c r="B5" s="54">
        <v>280000</v>
      </c>
      <c r="D5" t="s">
        <v>33</v>
      </c>
      <c r="E5" s="54">
        <v>99000</v>
      </c>
      <c r="G5" t="s">
        <v>10</v>
      </c>
      <c r="H5" s="54">
        <v>330000</v>
      </c>
      <c r="J5" t="s">
        <v>17</v>
      </c>
      <c r="K5" s="54">
        <v>280000</v>
      </c>
    </row>
    <row r="6" spans="1:11">
      <c r="A6" t="s">
        <v>11</v>
      </c>
      <c r="B6" s="54">
        <v>432600</v>
      </c>
      <c r="D6" t="s">
        <v>36</v>
      </c>
      <c r="E6" s="54">
        <v>31500</v>
      </c>
      <c r="G6" t="s">
        <v>24</v>
      </c>
      <c r="H6" s="54">
        <v>43200</v>
      </c>
      <c r="J6" t="s">
        <v>26</v>
      </c>
      <c r="K6" s="54">
        <v>29100</v>
      </c>
    </row>
    <row r="7" spans="1:11">
      <c r="A7" t="s">
        <v>25</v>
      </c>
      <c r="B7" s="54">
        <v>29100</v>
      </c>
      <c r="D7" t="s">
        <v>13</v>
      </c>
      <c r="E7" s="54">
        <v>330000</v>
      </c>
      <c r="G7" t="s">
        <v>29</v>
      </c>
      <c r="H7" s="54">
        <v>16000</v>
      </c>
      <c r="J7" t="s">
        <v>210</v>
      </c>
      <c r="K7" s="54">
        <v>1074600</v>
      </c>
    </row>
    <row r="8" spans="1:11">
      <c r="A8" t="s">
        <v>210</v>
      </c>
      <c r="B8" s="54">
        <v>1074600</v>
      </c>
      <c r="D8" t="s">
        <v>22</v>
      </c>
      <c r="E8" s="54">
        <v>200000</v>
      </c>
      <c r="G8" t="s">
        <v>44</v>
      </c>
      <c r="H8" s="54">
        <v>77300</v>
      </c>
    </row>
    <row r="9" spans="1:11">
      <c r="D9" t="s">
        <v>42</v>
      </c>
      <c r="E9" s="54">
        <v>188000</v>
      </c>
      <c r="G9" t="s">
        <v>32</v>
      </c>
      <c r="H9" s="54">
        <v>67600</v>
      </c>
    </row>
    <row r="10" spans="1:11">
      <c r="D10" t="s">
        <v>30</v>
      </c>
      <c r="E10" s="54">
        <v>16000</v>
      </c>
      <c r="G10" t="s">
        <v>15</v>
      </c>
      <c r="H10" s="54">
        <v>65500</v>
      </c>
    </row>
    <row r="11" spans="1:11">
      <c r="D11" t="s">
        <v>27</v>
      </c>
      <c r="E11" s="54">
        <v>17200</v>
      </c>
      <c r="G11" t="s">
        <v>20</v>
      </c>
      <c r="H11" s="54">
        <v>200000</v>
      </c>
    </row>
    <row r="12" spans="1:11">
      <c r="D12" t="s">
        <v>18</v>
      </c>
      <c r="E12" s="54">
        <v>100000</v>
      </c>
      <c r="G12" t="s">
        <v>35</v>
      </c>
      <c r="H12" s="54">
        <v>31500</v>
      </c>
    </row>
    <row r="13" spans="1:11">
      <c r="D13" t="s">
        <v>39</v>
      </c>
      <c r="E13" s="54">
        <v>11900</v>
      </c>
      <c r="G13" t="s">
        <v>41</v>
      </c>
      <c r="H13" s="54">
        <v>188000</v>
      </c>
    </row>
    <row r="14" spans="1:11">
      <c r="D14" t="s">
        <v>210</v>
      </c>
      <c r="E14" s="54">
        <v>1074600</v>
      </c>
      <c r="G14" t="s">
        <v>210</v>
      </c>
      <c r="H14" s="54">
        <v>1074600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2026-09-06T11:13:51Z</dcterms:created>
  <dcterms:modified xsi:type="dcterms:W3CDTF">2026-09-12T14:07:42Z</dcterms:modified>
  <cp:category/>
  <cp:contentStatus/>
</cp:coreProperties>
</file>